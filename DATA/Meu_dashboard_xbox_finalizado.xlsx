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win10\Downloads\Klabin - Excel e Power BI Dashboards\3-Análise de Dados com Excell e Copilot\Desafio\"/>
    </mc:Choice>
  </mc:AlternateContent>
  <bookViews>
    <workbookView xWindow="0" yWindow="0" windowWidth="38400" windowHeight="12330" tabRatio="11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SegmentaçãodeDados_Subscription_Type1">#N/A</definedName>
  </definedNames>
  <calcPr calcId="162913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36" i="3"/>
  <c r="E25" i="3"/>
  <c r="E14" i="3"/>
</calcChain>
</file>

<file path=xl/sharedStrings.xml><?xml version="1.0" encoding="utf-8"?>
<sst xmlns="http://schemas.openxmlformats.org/spreadsheetml/2006/main" count="2025" uniqueCount="323">
  <si>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</si>
  <si>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</si>
  <si>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</si>
  <si>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</si>
  <si>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</si>
  <si>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</si>
  <si>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</si>
  <si>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</si>
  <si>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</si>
  <si>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</si>
  <si>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</si>
  <si>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</si>
  <si>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</si>
  <si>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</si>
  <si>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</si>
  <si>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</si>
  <si>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</si>
  <si>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</si>
  <si>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</si>
  <si>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</si>
  <si>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</si>
  <si>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</si>
  <si>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</si>
  <si>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</si>
  <si>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</si>
  <si>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</si>
  <si>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</si>
  <si>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</si>
  <si>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</si>
  <si>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</si>
  <si>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</si>
  <si>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</si>
  <si>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</si>
  <si>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</si>
  <si>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</si>
  <si>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</si>
  <si>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</si>
  <si>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</si>
  <si>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</si>
  <si>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</si>
  <si>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</si>
  <si>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</si>
  <si>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</si>
  <si>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</si>
  <si>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</si>
  <si>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</si>
  <si>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</si>
  <si>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</si>
  <si>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</si>
  <si>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</si>
  <si>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</si>
  <si>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</si>
  <si>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</si>
  <si>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</si>
  <si>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</si>
  <si>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</si>
  <si>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</si>
  <si>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</si>
  <si>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</si>
  <si>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</si>
  <si>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</si>
  <si>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</si>
  <si>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</si>
  <si>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</si>
  <si>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</si>
  <si>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</si>
  <si>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</si>
  <si>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</si>
  <si>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</si>
  <si>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</si>
  <si>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</si>
  <si>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</si>
  <si>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</si>
  <si>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</si>
  <si>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</si>
  <si>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</si>
  <si>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</si>
  <si>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</si>
  <si>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</si>
  <si>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</si>
  <si>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</si>
  <si>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</si>
  <si>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</si>
  <si>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</si>
  <si>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</si>
  <si>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</si>
  <si>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</si>
  <si>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</si>
  <si>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</si>
  <si>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</si>
  <si>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</si>
  <si>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</si>
  <si>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</si>
  <si>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</si>
  <si>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</si>
  <si>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</si>
  <si>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</si>
  <si>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</si>
  <si>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</si>
  <si>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</si>
  <si>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</si>
  <si>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</si>
  <si>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</si>
  <si>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</si>
  <si>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</si>
  <si>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</si>
  <si>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</si>
  <si>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</si>
  <si>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</si>
  <si>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</si>
  <si>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</si>
  <si>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</si>
  <si>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</si>
  <si>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</si>
  <si>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</si>
  <si>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</si>
  <si>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</si>
  <si>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</si>
  <si>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</si>
  <si>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</si>
  <si>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</si>
  <si>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</si>
  <si>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</si>
  <si>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</si>
  <si>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</si>
  <si>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</si>
  <si>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</si>
  <si>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</si>
  <si>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</si>
  <si>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</si>
  <si>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</si>
  <si>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</si>
  <si>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</si>
  <si>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</si>
  <si>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</si>
  <si>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</si>
  <si>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</si>
  <si>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</si>
  <si>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</si>
  <si>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</si>
  <si>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</si>
  <si>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</si>
  <si>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</si>
  <si>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</si>
  <si>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</si>
  <si>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</si>
  <si>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</si>
  <si>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</si>
  <si>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</si>
  <si>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</si>
  <si>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</si>
  <si>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</si>
  <si>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</si>
  <si>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</si>
  <si>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</si>
  <si>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</si>
  <si>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</si>
  <si>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</si>
  <si>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</si>
  <si>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</si>
  <si>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</si>
  <si>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</si>
  <si>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</si>
  <si>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</si>
  <si>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</si>
  <si>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</si>
  <si>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</si>
  <si>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</si>
  <si>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</si>
  <si>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</si>
  <si>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</si>
  <si>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</si>
  <si>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</si>
  <si>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</si>
  <si>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</si>
  <si>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</si>
  <si>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</si>
  <si>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</si>
  <si>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</si>
  <si>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</si>
  <si>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</si>
  <si>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</si>
  <si>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</si>
  <si>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</si>
  <si>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</si>
  <si>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</si>
  <si>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</si>
  <si>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</si>
  <si>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</si>
  <si>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</si>
  <si>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</si>
  <si>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</si>
  <si>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</si>
  <si>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</si>
  <si>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</si>
  <si>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</si>
  <si>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</si>
  <si>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</si>
  <si>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</si>
  <si>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</si>
  <si>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</si>
  <si>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</si>
  <si>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</si>
  <si>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</si>
  <si>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</si>
  <si>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</si>
  <si>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</si>
  <si>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</si>
  <si>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</si>
  <si>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</si>
  <si>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</si>
  <si>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</si>
  <si>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</si>
  <si>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</si>
  <si>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</si>
  <si>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</si>
  <si>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</si>
  <si>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</si>
  <si>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</si>
  <si>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</si>
  <si>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</si>
  <si>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</si>
  <si>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</si>
  <si>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</si>
  <si>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</si>
  <si>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</si>
  <si>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</si>
  <si>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</si>
  <si>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</si>
  <si>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</si>
  <si>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</si>
  <si>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</si>
  <si>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</si>
  <si>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</si>
  <si>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</si>
  <si>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</si>
  <si>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</si>
  <si>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</si>
  <si>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</si>
  <si>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</si>
  <si>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</si>
  <si>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</si>
  <si>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</si>
  <si>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</si>
  <si>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</si>
  <si>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</si>
  <si>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</si>
  <si>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</si>
  <si>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</si>
  <si>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</si>
  <si>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</si>
  <si>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</si>
  <si>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</si>
  <si>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</si>
  <si>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</si>
  <si>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</si>
  <si>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</si>
  <si>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</si>
  <si>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</si>
  <si>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</si>
  <si>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</si>
  <si>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</si>
  <si>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</si>
  <si>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</si>
  <si>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</si>
  <si>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</si>
  <si>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</si>
  <si>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</si>
  <si>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</si>
  <si>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</si>
  <si>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</si>
  <si>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</si>
  <si>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</si>
  <si>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</si>
  <si>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</si>
  <si>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</si>
  <si>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</si>
  <si>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</si>
  <si>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</si>
  <si>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</si>
  <si>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</si>
  <si>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</si>
  <si>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</si>
  <si>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</si>
  <si>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</si>
  <si>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</si>
  <si>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</si>
  <si>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</si>
  <si>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</si>
  <si>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</si>
  <si>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</si>
  <si>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</si>
  <si>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</si>
  <si>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</si>
  <si>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</si>
  <si>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</si>
  <si>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</si>
  <si>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</si>
  <si>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</si>
  <si>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</si>
  <si>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</si>
  <si>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</si>
  <si>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</si>
  <si>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</si>
  <si>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</si>
  <si>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</si>
  <si>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</si>
  <si>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</si>
  <si>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</si>
  <si>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</si>
  <si>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</si>
  <si>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</si>
  <si>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</si>
  <si>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</si>
  <si>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</si>
  <si>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</si>
  <si>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</si>
  <si>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r>
      <t xml:space="preserve">Pergunta de Negócio 1 - Qual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>planos anuais</t>
    </r>
    <r>
      <rPr>
        <sz val="11"/>
        <color theme="1"/>
        <rFont val="Calibri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</si>
  <si>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</si>
  <si>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Calibri"/>
        <family val="2"/>
        <scheme val="minor"/>
      </rPr>
      <t xml:space="preserve"> Total de vendas</t>
    </r>
    <r>
      <rPr>
        <sz val="11"/>
        <color theme="1"/>
        <rFont val="Calibri"/>
        <family val="2"/>
        <scheme val="minor"/>
      </rPr>
      <t xml:space="preserve"> de</t>
    </r>
    <r>
      <rPr>
        <b/>
        <sz val="11"/>
        <color theme="1"/>
        <rFont val="Calibri"/>
        <family val="2"/>
        <scheme val="minor"/>
      </rPr>
      <t xml:space="preserve"> planos anuais</t>
    </r>
    <r>
      <rPr>
        <sz val="11"/>
        <color theme="1"/>
        <rFont val="Calibri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</si>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</sst>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pivotButton="1" applyNumberFormat="1" applyAlignment="1"/>
    <xf numFmtId="164" fontId="0" fillId="0" borderId="0" xfId="0" applyNumberFormat="1" applyAlignment="1"/>
    <xf numFmtId="0" fontId="0" fillId="0" borderId="0" xfId="0" applyAlignment="1">
      <alignment horizontal="center"/>
    </xf>
    <xf numFmtId="0" fontId="4" fillId="9" borderId="0" xfId="3" applyFill="1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45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44"/>
      <tableStyleElement type="headerRow" dxfId="43"/>
    </tableStyle>
  </tableStyles>
  <colors>
    <mruColors>
      <color rgb="FF22C55E"/>
      <color rgb="FF2AE6B1"/>
      <color rgb="FFE8E6E9"/>
      <color rgb="FFF7F8FC"/>
      <color rgb="FFEDEDED"/>
      <color rgb="FF9BC848"/>
      <color rgb="FFFF7DE6"/>
      <color rgb="FF5BF6A8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[Meu_dashboard_xbox_finalizado.xlsx]C̳álculos!tbl_annual_total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[Meu_dashboard_xbox_finalizado.xlsx]C̳álculos!Tabela dinâmica2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527437325012972"/>
          <c:y val="4.4044044044044044E-2"/>
          <c:w val="0.82279180521474682"/>
          <c:h val="0.91191191191191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C̳álculos!$B$4:$B$5</c:f>
              <c:strCache>
                <c:ptCount val="1"/>
                <c:pt idx="0">
                  <c:v>Annual</c:v>
                </c:pt>
              </c:strCache>
            </c:strRef>
          </c:cat>
          <c:val>
            <c:numRef>
              <c:f>C̳álculos!$C$4:$C$5</c:f>
              <c:numCache>
                <c:formatCode>"R$"\ #,##0.00</c:formatCode>
                <c:ptCount val="1"/>
                <c:pt idx="0">
                  <c:v>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6-47F7-ADFA-8F28D8F7D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5636352"/>
        <c:axId val="565634384"/>
      </c:barChart>
      <c:catAx>
        <c:axId val="56563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5634384"/>
        <c:crosses val="autoZero"/>
        <c:auto val="1"/>
        <c:lblAlgn val="ctr"/>
        <c:lblOffset val="100"/>
        <c:noMultiLvlLbl val="0"/>
      </c:catAx>
      <c:valAx>
        <c:axId val="56563438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5656363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10" Type="http://schemas.openxmlformats.org/officeDocument/2006/relationships/chart" Target="../charts/chart2.xml"/><Relationship Id="rId4" Type="http://schemas.openxmlformats.org/officeDocument/2006/relationships/image" Target="../media/image8.png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4</xdr:col>
      <xdr:colOff>43271</xdr:colOff>
      <xdr:row>14</xdr:row>
      <xdr:rowOff>180975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6</xdr:col>
      <xdr:colOff>171450</xdr:colOff>
      <xdr:row>20</xdr:row>
      <xdr:rowOff>69723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285750</xdr:colOff>
      <xdr:row>14</xdr:row>
      <xdr:rowOff>57150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209550</xdr:colOff>
      <xdr:row>28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504825</xdr:colOff>
      <xdr:row>22</xdr:row>
      <xdr:rowOff>28574</xdr:rowOff>
    </xdr:from>
    <xdr:to>
      <xdr:col>6</xdr:col>
      <xdr:colOff>454101</xdr:colOff>
      <xdr:row>25</xdr:row>
      <xdr:rowOff>171450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333625" y="43719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504826</xdr:colOff>
      <xdr:row>11</xdr:row>
      <xdr:rowOff>253093</xdr:rowOff>
    </xdr:from>
    <xdr:to>
      <xdr:col>15</xdr:col>
      <xdr:colOff>238640</xdr:colOff>
      <xdr:row>16</xdr:row>
      <xdr:rowOff>171451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1" y="2329543"/>
          <a:ext cx="953014" cy="947058"/>
        </a:xfrm>
        <a:prstGeom prst="rect">
          <a:avLst/>
        </a:prstGeom>
      </xdr:spPr>
    </xdr:pic>
    <xdr:clientData/>
  </xdr:twoCellAnchor>
  <xdr:twoCellAnchor editAs="oneCell">
    <xdr:from>
      <xdr:col>12</xdr:col>
      <xdr:colOff>302400</xdr:colOff>
      <xdr:row>11</xdr:row>
      <xdr:rowOff>244883</xdr:rowOff>
    </xdr:from>
    <xdr:to>
      <xdr:col>14</xdr:col>
      <xdr:colOff>67477</xdr:colOff>
      <xdr:row>16</xdr:row>
      <xdr:rowOff>152400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2425" y="2321333"/>
          <a:ext cx="984277" cy="936217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21</xdr:row>
      <xdr:rowOff>104776</xdr:rowOff>
    </xdr:from>
    <xdr:to>
      <xdr:col>8</xdr:col>
      <xdr:colOff>190500</xdr:colOff>
      <xdr:row>26</xdr:row>
      <xdr:rowOff>34132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4076701"/>
          <a:ext cx="1152525" cy="881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5</xdr:row>
      <xdr:rowOff>0</xdr:rowOff>
    </xdr:from>
    <xdr:to>
      <xdr:col>0</xdr:col>
      <xdr:colOff>1743075</xdr:colOff>
      <xdr:row>7</xdr:row>
      <xdr:rowOff>0</xdr:rowOff>
    </xdr:to>
    <xdr:sp macro="" textlink="">
      <xdr:nvSpPr>
        <xdr:cNvPr id="2" name="Retângulo Arredondado 1"/>
        <xdr:cNvSpPr/>
      </xdr:nvSpPr>
      <xdr:spPr>
        <a:xfrm>
          <a:off x="152400" y="981075"/>
          <a:ext cx="1590675" cy="257175"/>
        </a:xfrm>
        <a:prstGeom prst="roundRect">
          <a:avLst/>
        </a:prstGeom>
        <a:solidFill>
          <a:srgbClr val="FF7D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rgbClr val="FF7DE6"/>
              </a:solidFill>
            </a:ln>
          </a:endParaRPr>
        </a:p>
      </xdr:txBody>
    </xdr:sp>
    <xdr:clientData/>
  </xdr:twoCellAnchor>
  <xdr:twoCellAnchor editAs="absolute">
    <xdr:from>
      <xdr:col>1</xdr:col>
      <xdr:colOff>90366</xdr:colOff>
      <xdr:row>0</xdr:row>
      <xdr:rowOff>0</xdr:rowOff>
    </xdr:from>
    <xdr:to>
      <xdr:col>2</xdr:col>
      <xdr:colOff>555971</xdr:colOff>
      <xdr:row>2</xdr:row>
      <xdr:rowOff>241457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19166" y="0"/>
          <a:ext cx="713255" cy="784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29936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68551"/>
              <a:ext cx="1782536" cy="2247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309562</xdr:colOff>
      <xdr:row>6</xdr:row>
      <xdr:rowOff>52388</xdr:rowOff>
    </xdr:from>
    <xdr:to>
      <xdr:col>11</xdr:col>
      <xdr:colOff>28575</xdr:colOff>
      <xdr:row>15</xdr:row>
      <xdr:rowOff>59532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2650" y="1172976"/>
          <a:ext cx="5165072" cy="1598380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683453" y="1182501"/>
          <a:ext cx="4648340" cy="1579330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2"/>
            <a:ext cx="1083467" cy="583409"/>
            <a:chOff x="3495675" y="5400670"/>
            <a:chExt cx="1549476" cy="752480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7" y="5400670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83343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84994" y="3176167"/>
          <a:ext cx="10272993" cy="3298032"/>
          <a:chOff x="2083594" y="3178968"/>
          <a:chExt cx="10298906" cy="3298032"/>
        </a:xfrm>
        <a:effectLst/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8"/>
            <a:ext cx="10298906" cy="45243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kern="1200">
                <a:latin typeface="Nirmala UI" panose="020B0502040204020203" pitchFamily="34" charset="0"/>
                <a:ea typeface="Nirmala UI" panose="020B0502040204020203" pitchFamily="34" charset="0"/>
                <a:cs typeface="Nirmala UI" panose="020B0502040204020203" pitchFamily="34" charset="0"/>
              </a:rPr>
              <a:t>TOTAL SUBSCRIPTIONS XBOX</a:t>
            </a:r>
            <a:r>
              <a:rPr lang="pt-BR" sz="1400" b="1" kern="1200" baseline="0">
                <a:latin typeface="Nirmala UI" panose="020B0502040204020203" pitchFamily="34" charset="0"/>
                <a:ea typeface="Nirmala UI" panose="020B0502040204020203" pitchFamily="34" charset="0"/>
                <a:cs typeface="Nirmala UI" panose="020B0502040204020203" pitchFamily="34" charset="0"/>
              </a:rPr>
              <a:t> GAME PASS</a:t>
            </a:r>
            <a:endParaRPr lang="pt-BR" sz="1400" b="1" kern="1200">
              <a:latin typeface="Nirmala UI" panose="020B0502040204020203" pitchFamily="34" charset="0"/>
              <a:ea typeface="Nirmala UI" panose="020B0502040204020203" pitchFamily="34" charset="0"/>
              <a:cs typeface="Nirmala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166806</xdr:colOff>
      <xdr:row>5</xdr:row>
      <xdr:rowOff>6484</xdr:rowOff>
    </xdr:from>
    <xdr:to>
      <xdr:col>1</xdr:col>
      <xdr:colOff>0</xdr:colOff>
      <xdr:row>6</xdr:row>
      <xdr:rowOff>102534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66806" y="997084"/>
          <a:ext cx="16619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</a:t>
          </a:r>
          <a:r>
            <a:rPr lang="pt-BR" sz="1100" b="1" kern="1200" baseline="0"/>
            <a:t> </a:t>
          </a:r>
          <a:r>
            <a:rPr lang="pt-BR" sz="1100" b="1" kern="1200"/>
            <a:t>Juliana.</a:t>
          </a:r>
        </a:p>
      </xdr:txBody>
    </xdr:sp>
    <xdr:clientData/>
  </xdr:twoCellAnchor>
  <xdr:twoCellAnchor editAs="absolute">
    <xdr:from>
      <xdr:col>2</xdr:col>
      <xdr:colOff>233481</xdr:colOff>
      <xdr:row>2</xdr:row>
      <xdr:rowOff>218755</xdr:rowOff>
    </xdr:from>
    <xdr:to>
      <xdr:col>10</xdr:col>
      <xdr:colOff>523875</xdr:colOff>
      <xdr:row>5</xdr:row>
      <xdr:rowOff>480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22/02/2026 18:00:00</a:t>
          </a:r>
        </a:p>
      </xdr:txBody>
    </xdr:sp>
    <xdr:clientData/>
  </xdr:twoCellAnchor>
  <xdr:twoCellAnchor editAs="oneCell">
    <xdr:from>
      <xdr:col>0</xdr:col>
      <xdr:colOff>457200</xdr:colOff>
      <xdr:row>0</xdr:row>
      <xdr:rowOff>57150</xdr:rowOff>
    </xdr:from>
    <xdr:to>
      <xdr:col>0</xdr:col>
      <xdr:colOff>1441477</xdr:colOff>
      <xdr:row>5</xdr:row>
      <xdr:rowOff>2767</xdr:rowOff>
    </xdr:to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57150"/>
          <a:ext cx="984277" cy="936217"/>
        </a:xfrm>
        <a:prstGeom prst="rect">
          <a:avLst/>
        </a:prstGeom>
      </xdr:spPr>
    </xdr:pic>
    <xdr:clientData/>
  </xdr:twoCellAnchor>
  <xdr:twoCellAnchor editAs="oneCell">
    <xdr:from>
      <xdr:col>0</xdr:col>
      <xdr:colOff>1323975</xdr:colOff>
      <xdr:row>9</xdr:row>
      <xdr:rowOff>190500</xdr:rowOff>
    </xdr:from>
    <xdr:to>
      <xdr:col>0</xdr:col>
      <xdr:colOff>1638300</xdr:colOff>
      <xdr:row>11</xdr:row>
      <xdr:rowOff>47625</xdr:rowOff>
    </xdr:to>
    <xdr:pic>
      <xdr:nvPicPr>
        <xdr:cNvPr id="35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1323975" y="1809750"/>
          <a:ext cx="314325" cy="228600"/>
        </a:xfrm>
        <a:prstGeom prst="rect">
          <a:avLst/>
        </a:prstGeom>
      </xdr:spPr>
    </xdr:pic>
    <xdr:clientData/>
  </xdr:twoCellAnchor>
  <xdr:twoCellAnchor editAs="oneCell">
    <xdr:from>
      <xdr:col>0</xdr:col>
      <xdr:colOff>1323975</xdr:colOff>
      <xdr:row>11</xdr:row>
      <xdr:rowOff>95250</xdr:rowOff>
    </xdr:from>
    <xdr:to>
      <xdr:col>0</xdr:col>
      <xdr:colOff>1638300</xdr:colOff>
      <xdr:row>12</xdr:row>
      <xdr:rowOff>133350</xdr:rowOff>
    </xdr:to>
    <xdr:pic>
      <xdr:nvPicPr>
        <xdr:cNvPr id="36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1323975" y="2105025"/>
          <a:ext cx="314325" cy="228600"/>
        </a:xfrm>
        <a:prstGeom prst="rect">
          <a:avLst/>
        </a:prstGeom>
      </xdr:spPr>
    </xdr:pic>
    <xdr:clientData/>
  </xdr:twoCellAnchor>
  <xdr:twoCellAnchor editAs="oneCell">
    <xdr:from>
      <xdr:col>0</xdr:col>
      <xdr:colOff>1314450</xdr:colOff>
      <xdr:row>12</xdr:row>
      <xdr:rowOff>180975</xdr:rowOff>
    </xdr:from>
    <xdr:to>
      <xdr:col>0</xdr:col>
      <xdr:colOff>1628775</xdr:colOff>
      <xdr:row>14</xdr:row>
      <xdr:rowOff>28575</xdr:rowOff>
    </xdr:to>
    <xdr:pic>
      <xdr:nvPicPr>
        <xdr:cNvPr id="3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1314450" y="2400300"/>
          <a:ext cx="314325" cy="228600"/>
        </a:xfrm>
        <a:prstGeom prst="rect">
          <a:avLst/>
        </a:prstGeom>
      </xdr:spPr>
    </xdr:pic>
    <xdr:clientData/>
  </xdr:twoCellAnchor>
  <xdr:twoCellAnchor>
    <xdr:from>
      <xdr:col>2</xdr:col>
      <xdr:colOff>28576</xdr:colOff>
      <xdr:row>35</xdr:row>
      <xdr:rowOff>9525</xdr:rowOff>
    </xdr:from>
    <xdr:to>
      <xdr:col>20</xdr:col>
      <xdr:colOff>358587</xdr:colOff>
      <xdr:row>50</xdr:row>
      <xdr:rowOff>38100</xdr:rowOff>
    </xdr:to>
    <xdr:graphicFrame macro="">
      <xdr:nvGraphicFramePr>
        <xdr:cNvPr id="38" name="Gráfico 37"/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38101</xdr:colOff>
      <xdr:row>35</xdr:row>
      <xdr:rowOff>152400</xdr:rowOff>
    </xdr:from>
    <xdr:to>
      <xdr:col>19</xdr:col>
      <xdr:colOff>171450</xdr:colOff>
      <xdr:row>38</xdr:row>
      <xdr:rowOff>39698</xdr:rowOff>
    </xdr:to>
    <xdr:sp macro="" textlink="">
      <xdr:nvSpPr>
        <xdr:cNvPr id="39" name="Retângulo: Cantos Superiores Arredondados 28">
          <a:extLst>
            <a:ext uri="{FF2B5EF4-FFF2-40B4-BE49-F238E27FC236}">
              <a16:creationId xmlns:a16="http://schemas.microsoft.com/office/drawing/2014/main" id="{04E90C24-1EAF-4464-9E27-CA84E66E9AD4}"/>
            </a:ext>
          </a:extLst>
        </xdr:cNvPr>
        <xdr:cNvSpPr/>
      </xdr:nvSpPr>
      <xdr:spPr>
        <a:xfrm>
          <a:off x="2400301" y="7191375"/>
          <a:ext cx="11610974" cy="515948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Nirmala UI" panose="020B0502040204020203" pitchFamily="34" charset="0"/>
              <a:ea typeface="Nirmala UI" panose="020B0502040204020203" pitchFamily="34" charset="0"/>
              <a:cs typeface="Nirmala UI" panose="020B0502040204020203" pitchFamily="34" charset="0"/>
            </a:rPr>
            <a:t>TOTAL SALES OF ANNUAL PLANS (INCLUDING ALL SUBSCRIPTIONS COMBINED)</a:t>
          </a:r>
        </a:p>
      </xdr:txBody>
    </xdr:sp>
    <xdr:clientData/>
  </xdr:twoCellAnchor>
  <xdr:twoCellAnchor editAs="oneCell">
    <xdr:from>
      <xdr:col>0</xdr:col>
      <xdr:colOff>28575</xdr:colOff>
      <xdr:row>36</xdr:row>
      <xdr:rowOff>28575</xdr:rowOff>
    </xdr:from>
    <xdr:to>
      <xdr:col>0</xdr:col>
      <xdr:colOff>1819274</xdr:colOff>
      <xdr:row>51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Subscription Type 1"/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6740899"/>
              <a:ext cx="1790699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1333500</xdr:colOff>
      <xdr:row>37</xdr:row>
      <xdr:rowOff>142875</xdr:rowOff>
    </xdr:from>
    <xdr:to>
      <xdr:col>0</xdr:col>
      <xdr:colOff>1663629</xdr:colOff>
      <xdr:row>38</xdr:row>
      <xdr:rowOff>180975</xdr:rowOff>
    </xdr:to>
    <xdr:pic>
      <xdr:nvPicPr>
        <xdr:cNvPr id="41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1333500" y="7048500"/>
          <a:ext cx="330129" cy="2286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1333500</xdr:colOff>
      <xdr:row>39</xdr:row>
      <xdr:rowOff>28575</xdr:rowOff>
    </xdr:from>
    <xdr:to>
      <xdr:col>0</xdr:col>
      <xdr:colOff>1663629</xdr:colOff>
      <xdr:row>40</xdr:row>
      <xdr:rowOff>66675</xdr:rowOff>
    </xdr:to>
    <xdr:pic>
      <xdr:nvPicPr>
        <xdr:cNvPr id="42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1333500" y="7315200"/>
          <a:ext cx="330129" cy="228600"/>
        </a:xfrm>
        <a:prstGeom prst="rect">
          <a:avLst/>
        </a:prstGeom>
      </xdr:spPr>
    </xdr:pic>
    <xdr:clientData/>
  </xdr:twoCellAnchor>
  <xdr:twoCellAnchor editAs="oneCell">
    <xdr:from>
      <xdr:col>0</xdr:col>
      <xdr:colOff>1343025</xdr:colOff>
      <xdr:row>40</xdr:row>
      <xdr:rowOff>104775</xdr:rowOff>
    </xdr:from>
    <xdr:to>
      <xdr:col>0</xdr:col>
      <xdr:colOff>1673154</xdr:colOff>
      <xdr:row>41</xdr:row>
      <xdr:rowOff>142875</xdr:rowOff>
    </xdr:to>
    <xdr:pic>
      <xdr:nvPicPr>
        <xdr:cNvPr id="43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1343025" y="7581900"/>
          <a:ext cx="330129" cy="228600"/>
        </a:xfrm>
        <a:prstGeom prst="rect">
          <a:avLst/>
        </a:prstGeom>
      </xdr:spPr>
    </xdr:pic>
    <xdr:clientData/>
  </xdr:twoCellAnchor>
  <xdr:twoCellAnchor>
    <xdr:from>
      <xdr:col>1</xdr:col>
      <xdr:colOff>149038</xdr:colOff>
      <xdr:row>40</xdr:row>
      <xdr:rowOff>176492</xdr:rowOff>
    </xdr:from>
    <xdr:to>
      <xdr:col>4</xdr:col>
      <xdr:colOff>56029</xdr:colOff>
      <xdr:row>43</xdr:row>
      <xdr:rowOff>147917</xdr:rowOff>
    </xdr:to>
    <xdr:sp macro="" textlink="">
      <xdr:nvSpPr>
        <xdr:cNvPr id="4" name="Retângulo 3"/>
        <xdr:cNvSpPr/>
      </xdr:nvSpPr>
      <xdr:spPr>
        <a:xfrm>
          <a:off x="1975597" y="7650816"/>
          <a:ext cx="1363756" cy="542925"/>
        </a:xfrm>
        <a:prstGeom prst="rect">
          <a:avLst/>
        </a:prstGeom>
        <a:solidFill>
          <a:srgbClr val="E8E6E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95250</xdr:colOff>
      <xdr:row>41</xdr:row>
      <xdr:rowOff>180975</xdr:rowOff>
    </xdr:from>
    <xdr:to>
      <xdr:col>0</xdr:col>
      <xdr:colOff>1762125</xdr:colOff>
      <xdr:row>43</xdr:row>
      <xdr:rowOff>85725</xdr:rowOff>
    </xdr:to>
    <xdr:sp macro="" textlink="">
      <xdr:nvSpPr>
        <xdr:cNvPr id="5" name="Retângulo 4"/>
        <xdr:cNvSpPr/>
      </xdr:nvSpPr>
      <xdr:spPr>
        <a:xfrm>
          <a:off x="95250" y="7848600"/>
          <a:ext cx="1666875" cy="285750"/>
        </a:xfrm>
        <a:prstGeom prst="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10" refreshedDate="46075.715339699076" createdVersion="6" refreshedVersion="6" minRefreshableVersion="3" recordCount="296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/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/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</cacheFields>
  <extLst>
    <ext xmlns:x14="http://schemas.microsoft.com/office/spreadsheetml/2009/9/main" uri="{725AE2AE-9491-48be-B2B4-4EB974FC3084}">
      <x14:pivotCacheDefinition pivotCacheId="17659565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6">
  <r>
    <n v="3231"/>
    <x v="0"/>
    <s v="Ultimate"/>
    <d v="2024-01-01T00:00:00"/>
    <s v="Yes"/>
    <n v="15"/>
    <x v="0"/>
    <s v="Yes"/>
    <n v="30"/>
    <s v="Yes"/>
    <n v="20"/>
    <n v="5"/>
    <x v="0"/>
  </r>
  <r>
    <n v="3232"/>
    <x v="1"/>
    <s v="Core"/>
    <d v="2024-01-15T00:00:00"/>
    <s v="No"/>
    <n v="5"/>
    <x v="1"/>
    <s v="No"/>
    <s v="-"/>
    <s v="No"/>
    <n v="0"/>
    <n v="0"/>
    <x v="1"/>
  </r>
  <r>
    <n v="3233"/>
    <x v="2"/>
    <s v="Standard"/>
    <d v="2024-02-10T00:00:00"/>
    <s v="Yes"/>
    <n v="10"/>
    <x v="2"/>
    <s v="No"/>
    <s v="-"/>
    <s v="Yes"/>
    <n v="20"/>
    <n v="10"/>
    <x v="2"/>
  </r>
  <r>
    <n v="3234"/>
    <x v="3"/>
    <s v="Ultimate"/>
    <d v="2024-02-20T00:00:00"/>
    <s v="No"/>
    <n v="15"/>
    <x v="0"/>
    <s v="Yes"/>
    <n v="30"/>
    <s v="Yes"/>
    <n v="20"/>
    <n v="3"/>
    <x v="3"/>
  </r>
  <r>
    <n v="3235"/>
    <x v="4"/>
    <s v="Core"/>
    <d v="2024-03-05T00:00:00"/>
    <s v="Yes"/>
    <n v="5"/>
    <x v="0"/>
    <s v="No"/>
    <s v="-"/>
    <s v="No"/>
    <n v="0"/>
    <n v="1"/>
    <x v="4"/>
  </r>
  <r>
    <n v="3236"/>
    <x v="5"/>
    <s v="Standard"/>
    <d v="2024-03-02T00:00:00"/>
    <s v="No"/>
    <n v="10"/>
    <x v="0"/>
    <s v="No"/>
    <s v="-"/>
    <s v="Yes"/>
    <n v="20"/>
    <n v="2"/>
    <x v="5"/>
  </r>
  <r>
    <n v="3237"/>
    <x v="6"/>
    <s v="Ultimate"/>
    <d v="2024-03-03T00:00:00"/>
    <s v="Yes"/>
    <n v="15"/>
    <x v="2"/>
    <s v="Yes"/>
    <n v="30"/>
    <s v="Yes"/>
    <n v="20"/>
    <n v="10"/>
    <x v="6"/>
  </r>
  <r>
    <n v="3238"/>
    <x v="7"/>
    <s v="Core"/>
    <d v="2024-03-04T00:00:00"/>
    <s v="Yes"/>
    <n v="5"/>
    <x v="1"/>
    <s v="No"/>
    <s v="-"/>
    <s v="No"/>
    <n v="0"/>
    <n v="0"/>
    <x v="1"/>
  </r>
  <r>
    <n v="3239"/>
    <x v="8"/>
    <s v="Ultimate"/>
    <d v="2024-03-05T00:00:00"/>
    <s v="No"/>
    <n v="15"/>
    <x v="0"/>
    <s v="Yes"/>
    <n v="30"/>
    <s v="Yes"/>
    <n v="20"/>
    <n v="5"/>
    <x v="0"/>
  </r>
  <r>
    <n v="3240"/>
    <x v="9"/>
    <s v="Standard"/>
    <d v="2024-03-06T00:00:00"/>
    <s v="Yes"/>
    <n v="10"/>
    <x v="2"/>
    <s v="No"/>
    <s v="-"/>
    <s v="Yes"/>
    <n v="20"/>
    <n v="15"/>
    <x v="7"/>
  </r>
  <r>
    <n v="3241"/>
    <x v="10"/>
    <s v="Core"/>
    <d v="2024-03-07T00:00:00"/>
    <s v="No"/>
    <n v="5"/>
    <x v="0"/>
    <s v="No"/>
    <s v="-"/>
    <s v="No"/>
    <n v="0"/>
    <n v="1"/>
    <x v="4"/>
  </r>
  <r>
    <n v="3242"/>
    <x v="11"/>
    <s v="Ultimate"/>
    <d v="2024-03-08T00:00:00"/>
    <s v="Yes"/>
    <n v="15"/>
    <x v="1"/>
    <s v="Yes"/>
    <n v="30"/>
    <s v="Yes"/>
    <n v="20"/>
    <n v="20"/>
    <x v="8"/>
  </r>
  <r>
    <n v="3243"/>
    <x v="12"/>
    <s v="Standard"/>
    <d v="2024-03-09T00:00:00"/>
    <s v="No"/>
    <n v="10"/>
    <x v="0"/>
    <s v="No"/>
    <s v="-"/>
    <s v="Yes"/>
    <n v="20"/>
    <n v="10"/>
    <x v="2"/>
  </r>
  <r>
    <n v="3244"/>
    <x v="13"/>
    <s v="Core"/>
    <d v="2024-03-10T00:00:00"/>
    <s v="Yes"/>
    <n v="5"/>
    <x v="2"/>
    <s v="No"/>
    <s v="-"/>
    <s v="No"/>
    <n v="0"/>
    <n v="0"/>
    <x v="1"/>
  </r>
  <r>
    <n v="3245"/>
    <x v="14"/>
    <s v="Ultimate"/>
    <d v="2024-03-11T00:00:00"/>
    <s v="No"/>
    <n v="15"/>
    <x v="0"/>
    <s v="Yes"/>
    <n v="30"/>
    <s v="Yes"/>
    <n v="20"/>
    <n v="8"/>
    <x v="9"/>
  </r>
  <r>
    <n v="3246"/>
    <x v="15"/>
    <s v="Standard"/>
    <d v="2024-03-12T00:00:00"/>
    <s v="Yes"/>
    <n v="10"/>
    <x v="1"/>
    <s v="No"/>
    <s v="-"/>
    <s v="Yes"/>
    <n v="20"/>
    <n v="12"/>
    <x v="10"/>
  </r>
  <r>
    <n v="3247"/>
    <x v="16"/>
    <s v="Core"/>
    <d v="2024-03-13T00:00:00"/>
    <s v="No"/>
    <n v="5"/>
    <x v="0"/>
    <s v="No"/>
    <s v="-"/>
    <s v="No"/>
    <n v="0"/>
    <n v="2"/>
    <x v="11"/>
  </r>
  <r>
    <n v="3248"/>
    <x v="17"/>
    <s v="Ultimate"/>
    <d v="2024-03-14T00:00:00"/>
    <s v="Yes"/>
    <n v="15"/>
    <x v="2"/>
    <s v="Yes"/>
    <n v="30"/>
    <s v="Yes"/>
    <n v="20"/>
    <n v="7"/>
    <x v="12"/>
  </r>
  <r>
    <n v="3249"/>
    <x v="18"/>
    <s v="Standard"/>
    <d v="2024-03-15T00:00:00"/>
    <s v="No"/>
    <n v="10"/>
    <x v="0"/>
    <s v="No"/>
    <s v="-"/>
    <s v="Yes"/>
    <n v="20"/>
    <n v="5"/>
    <x v="13"/>
  </r>
  <r>
    <n v="3250"/>
    <x v="19"/>
    <s v="Core"/>
    <d v="2024-03-16T00:00:00"/>
    <s v="Yes"/>
    <n v="5"/>
    <x v="1"/>
    <s v="No"/>
    <s v="-"/>
    <s v="No"/>
    <n v="0"/>
    <n v="0"/>
    <x v="1"/>
  </r>
  <r>
    <n v="3251"/>
    <x v="20"/>
    <s v="Ultimate"/>
    <d v="2024-03-17T00:00:00"/>
    <s v="No"/>
    <n v="15"/>
    <x v="0"/>
    <s v="Yes"/>
    <n v="30"/>
    <s v="Yes"/>
    <n v="20"/>
    <n v="3"/>
    <x v="3"/>
  </r>
  <r>
    <n v="3252"/>
    <x v="21"/>
    <s v="Standard"/>
    <d v="2024-03-18T00:00:00"/>
    <s v="Yes"/>
    <n v="10"/>
    <x v="2"/>
    <s v="No"/>
    <s v="-"/>
    <s v="Yes"/>
    <n v="20"/>
    <n v="15"/>
    <x v="7"/>
  </r>
  <r>
    <n v="3253"/>
    <x v="22"/>
    <s v="Core"/>
    <d v="2024-03-19T00:00:00"/>
    <s v="No"/>
    <n v="5"/>
    <x v="0"/>
    <s v="No"/>
    <s v="-"/>
    <s v="No"/>
    <n v="0"/>
    <n v="1"/>
    <x v="4"/>
  </r>
  <r>
    <n v="3254"/>
    <x v="23"/>
    <s v="Ultimate"/>
    <d v="2024-03-20T00:00:00"/>
    <s v="Yes"/>
    <n v="15"/>
    <x v="1"/>
    <s v="Yes"/>
    <n v="30"/>
    <s v="Yes"/>
    <n v="20"/>
    <n v="20"/>
    <x v="8"/>
  </r>
  <r>
    <n v="3255"/>
    <x v="24"/>
    <s v="Standard"/>
    <d v="2024-03-21T00:00:00"/>
    <s v="No"/>
    <n v="10"/>
    <x v="0"/>
    <s v="No"/>
    <s v="-"/>
    <s v="Yes"/>
    <n v="20"/>
    <n v="10"/>
    <x v="2"/>
  </r>
  <r>
    <n v="3256"/>
    <x v="25"/>
    <s v="Core"/>
    <d v="2024-03-22T00:00:00"/>
    <s v="Yes"/>
    <n v="5"/>
    <x v="2"/>
    <s v="No"/>
    <s v="-"/>
    <s v="No"/>
    <n v="0"/>
    <n v="0"/>
    <x v="1"/>
  </r>
  <r>
    <n v="3257"/>
    <x v="26"/>
    <s v="Ultimate"/>
    <d v="2024-03-23T00:00:00"/>
    <s v="No"/>
    <n v="15"/>
    <x v="0"/>
    <s v="Yes"/>
    <n v="30"/>
    <s v="Yes"/>
    <n v="20"/>
    <n v="5"/>
    <x v="0"/>
  </r>
  <r>
    <n v="3258"/>
    <x v="27"/>
    <s v="Standard"/>
    <d v="2024-03-24T00:00:00"/>
    <s v="Yes"/>
    <n v="10"/>
    <x v="1"/>
    <s v="No"/>
    <s v="-"/>
    <s v="Yes"/>
    <n v="20"/>
    <n v="15"/>
    <x v="7"/>
  </r>
  <r>
    <n v="3259"/>
    <x v="28"/>
    <s v="Core"/>
    <d v="2024-03-25T00:00:00"/>
    <s v="No"/>
    <n v="5"/>
    <x v="0"/>
    <s v="No"/>
    <s v="-"/>
    <s v="No"/>
    <n v="0"/>
    <n v="1"/>
    <x v="4"/>
  </r>
  <r>
    <n v="3260"/>
    <x v="29"/>
    <s v="Ultimate"/>
    <d v="2024-03-26T00:00:00"/>
    <s v="Yes"/>
    <n v="15"/>
    <x v="2"/>
    <s v="Yes"/>
    <n v="30"/>
    <s v="Yes"/>
    <n v="20"/>
    <n v="7"/>
    <x v="12"/>
  </r>
  <r>
    <n v="3261"/>
    <x v="30"/>
    <s v="Standard"/>
    <d v="2024-03-27T00:00:00"/>
    <s v="No"/>
    <n v="10"/>
    <x v="0"/>
    <s v="No"/>
    <s v="-"/>
    <s v="Yes"/>
    <n v="20"/>
    <n v="10"/>
    <x v="2"/>
  </r>
  <r>
    <n v="3262"/>
    <x v="31"/>
    <s v="Core"/>
    <d v="2024-03-28T00:00:00"/>
    <s v="Yes"/>
    <n v="5"/>
    <x v="1"/>
    <s v="No"/>
    <s v="-"/>
    <s v="No"/>
    <n v="0"/>
    <n v="0"/>
    <x v="1"/>
  </r>
  <r>
    <n v="3263"/>
    <x v="32"/>
    <s v="Ultimate"/>
    <d v="2024-03-29T00:00:00"/>
    <s v="No"/>
    <n v="15"/>
    <x v="0"/>
    <s v="Yes"/>
    <n v="30"/>
    <s v="Yes"/>
    <n v="20"/>
    <n v="3"/>
    <x v="3"/>
  </r>
  <r>
    <n v="3264"/>
    <x v="33"/>
    <s v="Standard"/>
    <d v="2024-03-30T00:00:00"/>
    <s v="Yes"/>
    <n v="10"/>
    <x v="2"/>
    <s v="No"/>
    <s v="-"/>
    <s v="Yes"/>
    <n v="20"/>
    <n v="15"/>
    <x v="7"/>
  </r>
  <r>
    <n v="3265"/>
    <x v="34"/>
    <s v="Core"/>
    <d v="2024-03-31T00:00:00"/>
    <s v="No"/>
    <n v="5"/>
    <x v="0"/>
    <s v="No"/>
    <s v="-"/>
    <s v="No"/>
    <n v="0"/>
    <n v="1"/>
    <x v="4"/>
  </r>
  <r>
    <n v="3266"/>
    <x v="35"/>
    <s v="Core"/>
    <d v="2024-04-01T00:00:00"/>
    <s v="Yes"/>
    <n v="5"/>
    <x v="0"/>
    <s v="No"/>
    <s v="-"/>
    <s v="No"/>
    <n v="0"/>
    <n v="0"/>
    <x v="1"/>
  </r>
  <r>
    <n v="3267"/>
    <x v="36"/>
    <s v="Ultimate"/>
    <d v="2024-04-02T00:00:00"/>
    <s v="No"/>
    <n v="15"/>
    <x v="2"/>
    <s v="Yes"/>
    <n v="30"/>
    <s v="Yes"/>
    <n v="20"/>
    <n v="7"/>
    <x v="12"/>
  </r>
  <r>
    <n v="3268"/>
    <x v="37"/>
    <s v="Standard"/>
    <d v="2024-04-03T00:00:00"/>
    <s v="Yes"/>
    <n v="10"/>
    <x v="1"/>
    <s v="No"/>
    <s v="-"/>
    <s v="Yes"/>
    <n v="20"/>
    <n v="10"/>
    <x v="2"/>
  </r>
  <r>
    <n v="3269"/>
    <x v="38"/>
    <s v="Core"/>
    <d v="2024-04-04T00:00:00"/>
    <s v="No"/>
    <n v="5"/>
    <x v="2"/>
    <s v="No"/>
    <s v="-"/>
    <s v="No"/>
    <n v="0"/>
    <n v="1"/>
    <x v="4"/>
  </r>
  <r>
    <n v="3270"/>
    <x v="39"/>
    <s v="Ultimate"/>
    <d v="2024-04-05T00:00:00"/>
    <s v="Yes"/>
    <n v="15"/>
    <x v="0"/>
    <s v="Yes"/>
    <n v="30"/>
    <s v="Yes"/>
    <n v="20"/>
    <n v="15"/>
    <x v="14"/>
  </r>
  <r>
    <n v="3271"/>
    <x v="40"/>
    <s v="Standard"/>
    <d v="2024-04-06T00:00:00"/>
    <s v="No"/>
    <n v="10"/>
    <x v="0"/>
    <s v="No"/>
    <s v="-"/>
    <s v="Yes"/>
    <n v="20"/>
    <n v="5"/>
    <x v="13"/>
  </r>
  <r>
    <n v="3272"/>
    <x v="41"/>
    <s v="Core"/>
    <d v="2024-04-07T00:00:00"/>
    <s v="Yes"/>
    <n v="5"/>
    <x v="1"/>
    <s v="No"/>
    <s v="-"/>
    <s v="No"/>
    <n v="0"/>
    <n v="0"/>
    <x v="1"/>
  </r>
  <r>
    <n v="3273"/>
    <x v="42"/>
    <s v="Ultimate"/>
    <d v="2024-04-08T00:00:00"/>
    <s v="No"/>
    <n v="15"/>
    <x v="2"/>
    <s v="Yes"/>
    <n v="30"/>
    <s v="Yes"/>
    <n v="20"/>
    <n v="20"/>
    <x v="8"/>
  </r>
  <r>
    <n v="3274"/>
    <x v="43"/>
    <s v="Standard"/>
    <d v="2024-04-09T00:00:00"/>
    <s v="Yes"/>
    <n v="10"/>
    <x v="2"/>
    <s v="No"/>
    <s v="-"/>
    <s v="Yes"/>
    <n v="20"/>
    <n v="12"/>
    <x v="10"/>
  </r>
  <r>
    <n v="3275"/>
    <x v="44"/>
    <s v="Core"/>
    <d v="2024-04-10T00:00:00"/>
    <s v="No"/>
    <n v="5"/>
    <x v="0"/>
    <s v="No"/>
    <s v="-"/>
    <s v="No"/>
    <n v="0"/>
    <n v="2"/>
    <x v="11"/>
  </r>
  <r>
    <n v="3276"/>
    <x v="45"/>
    <s v="Ultimate"/>
    <d v="2024-04-11T00:00:00"/>
    <s v="Yes"/>
    <n v="15"/>
    <x v="1"/>
    <s v="Yes"/>
    <n v="30"/>
    <s v="Yes"/>
    <n v="20"/>
    <n v="5"/>
    <x v="0"/>
  </r>
  <r>
    <n v="3277"/>
    <x v="46"/>
    <s v="Standard"/>
    <d v="2024-04-12T00:00:00"/>
    <s v="No"/>
    <n v="10"/>
    <x v="0"/>
    <s v="No"/>
    <s v="-"/>
    <s v="Yes"/>
    <n v="20"/>
    <n v="10"/>
    <x v="2"/>
  </r>
  <r>
    <n v="3278"/>
    <x v="47"/>
    <s v="Core"/>
    <d v="2024-04-13T00:00:00"/>
    <s v="Yes"/>
    <n v="5"/>
    <x v="2"/>
    <s v="No"/>
    <s v="-"/>
    <s v="No"/>
    <n v="0"/>
    <n v="0"/>
    <x v="1"/>
  </r>
  <r>
    <n v="3279"/>
    <x v="48"/>
    <s v="Ultimate"/>
    <d v="2024-04-14T00:00:00"/>
    <s v="No"/>
    <n v="15"/>
    <x v="0"/>
    <s v="Yes"/>
    <n v="30"/>
    <s v="Yes"/>
    <n v="20"/>
    <n v="3"/>
    <x v="3"/>
  </r>
  <r>
    <n v="3280"/>
    <x v="49"/>
    <s v="Standard"/>
    <d v="2024-04-15T00:00:00"/>
    <s v="Yes"/>
    <n v="10"/>
    <x v="1"/>
    <s v="No"/>
    <s v="-"/>
    <s v="Yes"/>
    <n v="20"/>
    <n v="15"/>
    <x v="7"/>
  </r>
  <r>
    <n v="3281"/>
    <x v="50"/>
    <s v="Core"/>
    <d v="2024-04-16T00:00:00"/>
    <s v="No"/>
    <n v="5"/>
    <x v="0"/>
    <s v="No"/>
    <s v="-"/>
    <s v="No"/>
    <n v="0"/>
    <n v="1"/>
    <x v="4"/>
  </r>
  <r>
    <n v="3282"/>
    <x v="51"/>
    <s v="Ultimate"/>
    <d v="2024-04-17T00:00:00"/>
    <s v="Yes"/>
    <n v="15"/>
    <x v="2"/>
    <s v="Yes"/>
    <n v="30"/>
    <s v="Yes"/>
    <n v="20"/>
    <n v="7"/>
    <x v="12"/>
  </r>
  <r>
    <n v="3283"/>
    <x v="52"/>
    <s v="Standard"/>
    <d v="2024-04-18T00:00:00"/>
    <s v="No"/>
    <n v="10"/>
    <x v="0"/>
    <s v="No"/>
    <s v="-"/>
    <s v="Yes"/>
    <n v="20"/>
    <n v="10"/>
    <x v="2"/>
  </r>
  <r>
    <n v="3284"/>
    <x v="53"/>
    <s v="Core"/>
    <d v="2024-04-19T00:00:00"/>
    <s v="Yes"/>
    <n v="5"/>
    <x v="1"/>
    <s v="No"/>
    <s v="-"/>
    <s v="No"/>
    <n v="0"/>
    <n v="0"/>
    <x v="1"/>
  </r>
  <r>
    <n v="3285"/>
    <x v="54"/>
    <s v="Ultimate"/>
    <d v="2024-04-20T00:00:00"/>
    <s v="No"/>
    <n v="15"/>
    <x v="0"/>
    <s v="Yes"/>
    <n v="30"/>
    <s v="Yes"/>
    <n v="20"/>
    <n v="20"/>
    <x v="8"/>
  </r>
  <r>
    <n v="3286"/>
    <x v="55"/>
    <s v="Standard"/>
    <d v="2024-04-21T00:00:00"/>
    <s v="Yes"/>
    <n v="10"/>
    <x v="2"/>
    <s v="No"/>
    <s v="-"/>
    <s v="Yes"/>
    <n v="20"/>
    <n v="15"/>
    <x v="7"/>
  </r>
  <r>
    <n v="3287"/>
    <x v="56"/>
    <s v="Core"/>
    <d v="2024-04-22T00:00:00"/>
    <s v="No"/>
    <n v="5"/>
    <x v="0"/>
    <s v="No"/>
    <s v="-"/>
    <s v="No"/>
    <n v="0"/>
    <n v="1"/>
    <x v="4"/>
  </r>
  <r>
    <n v="3288"/>
    <x v="57"/>
    <s v="Ultimate"/>
    <d v="2024-04-23T00:00:00"/>
    <s v="Yes"/>
    <n v="15"/>
    <x v="1"/>
    <s v="Yes"/>
    <n v="30"/>
    <s v="Yes"/>
    <n v="20"/>
    <n v="3"/>
    <x v="3"/>
  </r>
  <r>
    <n v="3289"/>
    <x v="58"/>
    <s v="Standard"/>
    <d v="2024-04-24T00:00:00"/>
    <s v="No"/>
    <n v="10"/>
    <x v="0"/>
    <s v="No"/>
    <s v="-"/>
    <s v="Yes"/>
    <n v="20"/>
    <n v="10"/>
    <x v="2"/>
  </r>
  <r>
    <n v="3290"/>
    <x v="59"/>
    <s v="Core"/>
    <d v="2024-04-25T00:00:00"/>
    <s v="Yes"/>
    <n v="5"/>
    <x v="2"/>
    <s v="No"/>
    <s v="-"/>
    <s v="No"/>
    <n v="0"/>
    <n v="0"/>
    <x v="1"/>
  </r>
  <r>
    <n v="3291"/>
    <x v="60"/>
    <s v="Ultimate"/>
    <d v="2024-04-26T00:00:00"/>
    <s v="No"/>
    <n v="15"/>
    <x v="0"/>
    <s v="Yes"/>
    <n v="30"/>
    <s v="Yes"/>
    <n v="20"/>
    <n v="5"/>
    <x v="0"/>
  </r>
  <r>
    <n v="3292"/>
    <x v="61"/>
    <s v="Standard"/>
    <d v="2024-04-27T00:00:00"/>
    <s v="Yes"/>
    <n v="10"/>
    <x v="1"/>
    <s v="No"/>
    <s v="-"/>
    <s v="Yes"/>
    <n v="20"/>
    <n v="15"/>
    <x v="7"/>
  </r>
  <r>
    <n v="3293"/>
    <x v="62"/>
    <s v="Core"/>
    <d v="2024-04-28T00:00:00"/>
    <s v="No"/>
    <n v="5"/>
    <x v="0"/>
    <s v="No"/>
    <s v="-"/>
    <s v="No"/>
    <n v="0"/>
    <n v="1"/>
    <x v="4"/>
  </r>
  <r>
    <n v="3294"/>
    <x v="63"/>
    <s v="Ultimate"/>
    <d v="2024-04-29T00:00:00"/>
    <s v="Yes"/>
    <n v="15"/>
    <x v="2"/>
    <s v="Yes"/>
    <n v="30"/>
    <s v="Yes"/>
    <n v="20"/>
    <n v="20"/>
    <x v="8"/>
  </r>
  <r>
    <n v="3295"/>
    <x v="64"/>
    <s v="Standard"/>
    <d v="2024-04-30T00:00:00"/>
    <s v="No"/>
    <n v="10"/>
    <x v="0"/>
    <s v="No"/>
    <s v="-"/>
    <s v="Yes"/>
    <n v="20"/>
    <n v="5"/>
    <x v="13"/>
  </r>
  <r>
    <n v="3296"/>
    <x v="65"/>
    <s v="Core"/>
    <d v="2024-05-01T00:00:00"/>
    <s v="No"/>
    <n v="5"/>
    <x v="0"/>
    <s v="No"/>
    <s v="-"/>
    <s v="No"/>
    <n v="0"/>
    <n v="0"/>
    <x v="1"/>
  </r>
  <r>
    <n v="3297"/>
    <x v="66"/>
    <s v="Ultimate"/>
    <d v="2024-05-02T00:00:00"/>
    <s v="Yes"/>
    <n v="15"/>
    <x v="2"/>
    <s v="Yes"/>
    <n v="30"/>
    <s v="Yes"/>
    <n v="20"/>
    <n v="7"/>
    <x v="12"/>
  </r>
  <r>
    <n v="3298"/>
    <x v="67"/>
    <s v="Standard"/>
    <d v="2024-05-03T00:00:00"/>
    <s v="No"/>
    <n v="10"/>
    <x v="1"/>
    <s v="No"/>
    <s v="-"/>
    <s v="Yes"/>
    <n v="20"/>
    <n v="10"/>
    <x v="2"/>
  </r>
  <r>
    <n v="3299"/>
    <x v="68"/>
    <s v="Core"/>
    <d v="2024-05-04T00:00:00"/>
    <s v="Yes"/>
    <n v="5"/>
    <x v="2"/>
    <s v="No"/>
    <s v="-"/>
    <s v="No"/>
    <n v="0"/>
    <n v="1"/>
    <x v="4"/>
  </r>
  <r>
    <n v="3300"/>
    <x v="69"/>
    <s v="Ultimate"/>
    <d v="2024-05-05T00:00:00"/>
    <s v="No"/>
    <n v="15"/>
    <x v="0"/>
    <s v="Yes"/>
    <n v="30"/>
    <s v="Yes"/>
    <n v="20"/>
    <n v="15"/>
    <x v="14"/>
  </r>
  <r>
    <n v="3301"/>
    <x v="70"/>
    <s v="Standard"/>
    <d v="2024-05-06T00:00:00"/>
    <s v="Yes"/>
    <n v="10"/>
    <x v="0"/>
    <s v="No"/>
    <s v="-"/>
    <s v="Yes"/>
    <n v="20"/>
    <n v="5"/>
    <x v="13"/>
  </r>
  <r>
    <n v="3302"/>
    <x v="71"/>
    <s v="Core"/>
    <d v="2024-05-07T00:00:00"/>
    <s v="No"/>
    <n v="5"/>
    <x v="1"/>
    <s v="No"/>
    <s v="-"/>
    <s v="No"/>
    <n v="0"/>
    <n v="0"/>
    <x v="1"/>
  </r>
  <r>
    <n v="3303"/>
    <x v="72"/>
    <s v="Ultimate"/>
    <d v="2024-05-08T00:00:00"/>
    <s v="Yes"/>
    <n v="15"/>
    <x v="2"/>
    <s v="Yes"/>
    <n v="30"/>
    <s v="Yes"/>
    <n v="20"/>
    <n v="20"/>
    <x v="8"/>
  </r>
  <r>
    <n v="3304"/>
    <x v="73"/>
    <s v="Standard"/>
    <d v="2024-05-09T00:00:00"/>
    <s v="No"/>
    <n v="10"/>
    <x v="2"/>
    <s v="No"/>
    <s v="-"/>
    <s v="Yes"/>
    <n v="20"/>
    <n v="12"/>
    <x v="10"/>
  </r>
  <r>
    <n v="3305"/>
    <x v="74"/>
    <s v="Core"/>
    <d v="2024-05-10T00:00:00"/>
    <s v="Yes"/>
    <n v="5"/>
    <x v="0"/>
    <s v="No"/>
    <s v="-"/>
    <s v="No"/>
    <n v="0"/>
    <n v="2"/>
    <x v="11"/>
  </r>
  <r>
    <n v="3306"/>
    <x v="75"/>
    <s v="Ultimate"/>
    <d v="2024-05-11T00:00:00"/>
    <s v="No"/>
    <n v="15"/>
    <x v="1"/>
    <s v="Yes"/>
    <n v="30"/>
    <s v="Yes"/>
    <n v="20"/>
    <n v="5"/>
    <x v="0"/>
  </r>
  <r>
    <n v="3307"/>
    <x v="76"/>
    <s v="Standard"/>
    <d v="2024-05-12T00:00:00"/>
    <s v="Yes"/>
    <n v="10"/>
    <x v="0"/>
    <s v="No"/>
    <s v="-"/>
    <s v="Yes"/>
    <n v="20"/>
    <n v="10"/>
    <x v="2"/>
  </r>
  <r>
    <n v="3308"/>
    <x v="77"/>
    <s v="Core"/>
    <d v="2024-05-13T00:00:00"/>
    <s v="No"/>
    <n v="5"/>
    <x v="2"/>
    <s v="No"/>
    <s v="-"/>
    <s v="No"/>
    <n v="0"/>
    <n v="0"/>
    <x v="1"/>
  </r>
  <r>
    <n v="3309"/>
    <x v="78"/>
    <s v="Ultimate"/>
    <d v="2024-05-14T00:00:00"/>
    <s v="Yes"/>
    <n v="15"/>
    <x v="0"/>
    <s v="Yes"/>
    <n v="30"/>
    <s v="Yes"/>
    <n v="20"/>
    <n v="3"/>
    <x v="3"/>
  </r>
  <r>
    <n v="3310"/>
    <x v="79"/>
    <s v="Standard"/>
    <d v="2024-05-15T00:00:00"/>
    <s v="No"/>
    <n v="10"/>
    <x v="1"/>
    <s v="No"/>
    <s v="-"/>
    <s v="Yes"/>
    <n v="20"/>
    <n v="15"/>
    <x v="7"/>
  </r>
  <r>
    <n v="3311"/>
    <x v="80"/>
    <s v="Core"/>
    <d v="2024-05-16T00:00:00"/>
    <s v="Yes"/>
    <n v="5"/>
    <x v="0"/>
    <s v="No"/>
    <s v="-"/>
    <s v="No"/>
    <n v="0"/>
    <n v="1"/>
    <x v="4"/>
  </r>
  <r>
    <n v="3312"/>
    <x v="81"/>
    <s v="Ultimate"/>
    <d v="2024-05-17T00:00:00"/>
    <s v="No"/>
    <n v="15"/>
    <x v="2"/>
    <s v="Yes"/>
    <n v="30"/>
    <s v="Yes"/>
    <n v="20"/>
    <n v="7"/>
    <x v="12"/>
  </r>
  <r>
    <n v="3313"/>
    <x v="82"/>
    <s v="Standard"/>
    <d v="2024-05-18T00:00:00"/>
    <s v="Yes"/>
    <n v="10"/>
    <x v="0"/>
    <s v="No"/>
    <s v="-"/>
    <s v="Yes"/>
    <n v="20"/>
    <n v="10"/>
    <x v="2"/>
  </r>
  <r>
    <n v="3314"/>
    <x v="83"/>
    <s v="Core"/>
    <d v="2024-05-19T00:00:00"/>
    <s v="No"/>
    <n v="5"/>
    <x v="1"/>
    <s v="No"/>
    <s v="-"/>
    <s v="No"/>
    <n v="0"/>
    <n v="0"/>
    <x v="1"/>
  </r>
  <r>
    <n v="3315"/>
    <x v="84"/>
    <s v="Ultimate"/>
    <d v="2024-05-20T00:00:00"/>
    <s v="Yes"/>
    <n v="15"/>
    <x v="0"/>
    <s v="Yes"/>
    <n v="30"/>
    <s v="Yes"/>
    <n v="20"/>
    <n v="20"/>
    <x v="8"/>
  </r>
  <r>
    <n v="3316"/>
    <x v="85"/>
    <s v="Standard"/>
    <d v="2024-05-21T00:00:00"/>
    <s v="No"/>
    <n v="10"/>
    <x v="2"/>
    <s v="No"/>
    <s v="-"/>
    <s v="Yes"/>
    <n v="20"/>
    <n v="15"/>
    <x v="7"/>
  </r>
  <r>
    <n v="3317"/>
    <x v="86"/>
    <s v="Core"/>
    <d v="2024-05-22T00:00:00"/>
    <s v="Yes"/>
    <n v="5"/>
    <x v="0"/>
    <s v="No"/>
    <s v="-"/>
    <s v="No"/>
    <n v="0"/>
    <n v="1"/>
    <x v="4"/>
  </r>
  <r>
    <n v="3318"/>
    <x v="87"/>
    <s v="Ultimate"/>
    <d v="2024-05-23T00:00:00"/>
    <s v="No"/>
    <n v="15"/>
    <x v="1"/>
    <s v="Yes"/>
    <n v="30"/>
    <s v="Yes"/>
    <n v="20"/>
    <n v="3"/>
    <x v="3"/>
  </r>
  <r>
    <n v="3319"/>
    <x v="88"/>
    <s v="Standard"/>
    <d v="2024-05-24T00:00:00"/>
    <s v="Yes"/>
    <n v="10"/>
    <x v="0"/>
    <s v="No"/>
    <s v="-"/>
    <s v="Yes"/>
    <n v="20"/>
    <n v="10"/>
    <x v="2"/>
  </r>
  <r>
    <n v="3320"/>
    <x v="89"/>
    <s v="Core"/>
    <d v="2024-05-25T00:00:00"/>
    <s v="No"/>
    <n v="5"/>
    <x v="2"/>
    <s v="No"/>
    <s v="-"/>
    <s v="No"/>
    <n v="0"/>
    <n v="0"/>
    <x v="1"/>
  </r>
  <r>
    <n v="3321"/>
    <x v="90"/>
    <s v="Ultimate"/>
    <d v="2024-05-26T00:00:00"/>
    <s v="Yes"/>
    <n v="15"/>
    <x v="0"/>
    <s v="Yes"/>
    <n v="30"/>
    <s v="Yes"/>
    <n v="20"/>
    <n v="5"/>
    <x v="0"/>
  </r>
  <r>
    <n v="3322"/>
    <x v="91"/>
    <s v="Standard"/>
    <d v="2024-05-27T00:00:00"/>
    <s v="No"/>
    <n v="10"/>
    <x v="1"/>
    <s v="No"/>
    <s v="-"/>
    <s v="Yes"/>
    <n v="20"/>
    <n v="15"/>
    <x v="7"/>
  </r>
  <r>
    <n v="3323"/>
    <x v="92"/>
    <s v="Core"/>
    <d v="2024-05-28T00:00:00"/>
    <s v="Yes"/>
    <n v="5"/>
    <x v="0"/>
    <s v="No"/>
    <s v="-"/>
    <s v="No"/>
    <n v="0"/>
    <n v="1"/>
    <x v="4"/>
  </r>
  <r>
    <n v="3324"/>
    <x v="93"/>
    <s v="Ultimate"/>
    <d v="2024-05-29T00:00:00"/>
    <s v="No"/>
    <n v="15"/>
    <x v="2"/>
    <s v="Yes"/>
    <n v="30"/>
    <s v="Yes"/>
    <n v="20"/>
    <n v="20"/>
    <x v="8"/>
  </r>
  <r>
    <n v="3325"/>
    <x v="94"/>
    <s v="Standard"/>
    <d v="2024-05-30T00:00:00"/>
    <s v="Yes"/>
    <n v="10"/>
    <x v="2"/>
    <s v="No"/>
    <s v="-"/>
    <s v="Yes"/>
    <n v="20"/>
    <n v="15"/>
    <x v="7"/>
  </r>
  <r>
    <n v="3326"/>
    <x v="95"/>
    <s v="Core"/>
    <d v="2024-05-31T00:00:00"/>
    <s v="No"/>
    <n v="5"/>
    <x v="1"/>
    <s v="No"/>
    <s v="-"/>
    <s v="No"/>
    <n v="0"/>
    <n v="0"/>
    <x v="1"/>
  </r>
  <r>
    <n v="3327"/>
    <x v="96"/>
    <s v="Ultimate"/>
    <d v="2024-06-01T00:00:00"/>
    <s v="Yes"/>
    <n v="15"/>
    <x v="0"/>
    <s v="Yes"/>
    <n v="30"/>
    <s v="Yes"/>
    <n v="20"/>
    <n v="7"/>
    <x v="12"/>
  </r>
  <r>
    <n v="3328"/>
    <x v="97"/>
    <s v="Standard"/>
    <d v="2024-06-02T00:00:00"/>
    <s v="No"/>
    <n v="10"/>
    <x v="1"/>
    <s v="No"/>
    <s v="-"/>
    <s v="Yes"/>
    <n v="20"/>
    <n v="10"/>
    <x v="2"/>
  </r>
  <r>
    <n v="3329"/>
    <x v="98"/>
    <s v="Core"/>
    <d v="2024-06-03T00:00:00"/>
    <s v="Yes"/>
    <n v="5"/>
    <x v="2"/>
    <s v="No"/>
    <s v="-"/>
    <s v="No"/>
    <n v="0"/>
    <n v="1"/>
    <x v="4"/>
  </r>
  <r>
    <n v="3330"/>
    <x v="99"/>
    <s v="Ultimate"/>
    <d v="2024-06-04T00:00:00"/>
    <s v="No"/>
    <n v="15"/>
    <x v="0"/>
    <s v="Yes"/>
    <n v="30"/>
    <s v="Yes"/>
    <n v="20"/>
    <n v="15"/>
    <x v="14"/>
  </r>
  <r>
    <n v="3331"/>
    <x v="100"/>
    <s v="Standard"/>
    <d v="2024-06-05T00:00:00"/>
    <s v="Yes"/>
    <n v="10"/>
    <x v="0"/>
    <s v="No"/>
    <s v="-"/>
    <s v="Yes"/>
    <n v="20"/>
    <n v="5"/>
    <x v="13"/>
  </r>
  <r>
    <n v="3332"/>
    <x v="101"/>
    <s v="Core"/>
    <d v="2024-06-06T00:00:00"/>
    <s v="No"/>
    <n v="5"/>
    <x v="1"/>
    <s v="No"/>
    <s v="-"/>
    <s v="No"/>
    <n v="0"/>
    <n v="0"/>
    <x v="1"/>
  </r>
  <r>
    <n v="3333"/>
    <x v="102"/>
    <s v="Ultimate"/>
    <d v="2024-06-07T00:00:00"/>
    <s v="Yes"/>
    <n v="15"/>
    <x v="2"/>
    <s v="Yes"/>
    <n v="30"/>
    <s v="Yes"/>
    <n v="20"/>
    <n v="20"/>
    <x v="8"/>
  </r>
  <r>
    <n v="3334"/>
    <x v="103"/>
    <s v="Standard"/>
    <d v="2024-06-08T00:00:00"/>
    <s v="No"/>
    <n v="10"/>
    <x v="2"/>
    <s v="No"/>
    <s v="-"/>
    <s v="Yes"/>
    <n v="20"/>
    <n v="12"/>
    <x v="10"/>
  </r>
  <r>
    <n v="3335"/>
    <x v="104"/>
    <s v="Core"/>
    <d v="2024-06-09T00:00:00"/>
    <s v="Yes"/>
    <n v="5"/>
    <x v="0"/>
    <s v="No"/>
    <s v="-"/>
    <s v="No"/>
    <n v="0"/>
    <n v="2"/>
    <x v="11"/>
  </r>
  <r>
    <n v="3336"/>
    <x v="105"/>
    <s v="Core"/>
    <d v="2024-06-10T00:00:00"/>
    <s v="Yes"/>
    <n v="5"/>
    <x v="0"/>
    <s v="No"/>
    <s v="-"/>
    <s v="No"/>
    <n v="0"/>
    <n v="0"/>
    <x v="1"/>
  </r>
  <r>
    <n v="3337"/>
    <x v="106"/>
    <s v="Ultimate"/>
    <d v="2024-06-11T00:00:00"/>
    <s v="No"/>
    <n v="15"/>
    <x v="2"/>
    <s v="Yes"/>
    <n v="30"/>
    <s v="Yes"/>
    <n v="20"/>
    <n v="7"/>
    <x v="12"/>
  </r>
  <r>
    <n v="3338"/>
    <x v="107"/>
    <s v="Standard"/>
    <d v="2024-06-12T00:00:00"/>
    <s v="Yes"/>
    <n v="10"/>
    <x v="1"/>
    <s v="No"/>
    <s v="-"/>
    <s v="Yes"/>
    <n v="20"/>
    <n v="10"/>
    <x v="2"/>
  </r>
  <r>
    <n v="3339"/>
    <x v="108"/>
    <s v="Core"/>
    <d v="2024-06-13T00:00:00"/>
    <s v="No"/>
    <n v="5"/>
    <x v="2"/>
    <s v="No"/>
    <s v="-"/>
    <s v="No"/>
    <n v="0"/>
    <n v="1"/>
    <x v="4"/>
  </r>
  <r>
    <n v="3340"/>
    <x v="109"/>
    <s v="Ultimate"/>
    <d v="2024-06-14T00:00:00"/>
    <s v="Yes"/>
    <n v="15"/>
    <x v="0"/>
    <s v="Yes"/>
    <n v="30"/>
    <s v="Yes"/>
    <n v="20"/>
    <n v="15"/>
    <x v="14"/>
  </r>
  <r>
    <n v="3341"/>
    <x v="110"/>
    <s v="Standard"/>
    <d v="2024-06-15T00:00:00"/>
    <s v="No"/>
    <n v="10"/>
    <x v="0"/>
    <s v="No"/>
    <s v="-"/>
    <s v="Yes"/>
    <n v="20"/>
    <n v="5"/>
    <x v="13"/>
  </r>
  <r>
    <n v="3342"/>
    <x v="111"/>
    <s v="Core"/>
    <d v="2024-06-16T00:00:00"/>
    <s v="Yes"/>
    <n v="5"/>
    <x v="1"/>
    <s v="No"/>
    <s v="-"/>
    <s v="No"/>
    <n v="0"/>
    <n v="0"/>
    <x v="1"/>
  </r>
  <r>
    <n v="3343"/>
    <x v="112"/>
    <s v="Ultimate"/>
    <d v="2024-06-17T00:00:00"/>
    <s v="No"/>
    <n v="15"/>
    <x v="2"/>
    <s v="Yes"/>
    <n v="30"/>
    <s v="Yes"/>
    <n v="20"/>
    <n v="20"/>
    <x v="8"/>
  </r>
  <r>
    <n v="3344"/>
    <x v="113"/>
    <s v="Standard"/>
    <d v="2024-06-18T00:00:00"/>
    <s v="Yes"/>
    <n v="10"/>
    <x v="2"/>
    <s v="No"/>
    <s v="-"/>
    <s v="Yes"/>
    <n v="20"/>
    <n v="12"/>
    <x v="10"/>
  </r>
  <r>
    <n v="3345"/>
    <x v="114"/>
    <s v="Core"/>
    <d v="2024-06-19T00:00:00"/>
    <s v="No"/>
    <n v="5"/>
    <x v="0"/>
    <s v="No"/>
    <s v="-"/>
    <s v="No"/>
    <n v="0"/>
    <n v="2"/>
    <x v="11"/>
  </r>
  <r>
    <n v="3346"/>
    <x v="115"/>
    <s v="Ultimate"/>
    <d v="2024-06-20T00:00:00"/>
    <s v="Yes"/>
    <n v="15"/>
    <x v="1"/>
    <s v="Yes"/>
    <n v="30"/>
    <s v="Yes"/>
    <n v="20"/>
    <n v="5"/>
    <x v="0"/>
  </r>
  <r>
    <n v="3347"/>
    <x v="116"/>
    <s v="Standard"/>
    <d v="2024-06-21T00:00:00"/>
    <s v="No"/>
    <n v="10"/>
    <x v="0"/>
    <s v="No"/>
    <s v="-"/>
    <s v="Yes"/>
    <n v="20"/>
    <n v="10"/>
    <x v="2"/>
  </r>
  <r>
    <n v="3348"/>
    <x v="117"/>
    <s v="Core"/>
    <d v="2024-06-22T00:00:00"/>
    <s v="Yes"/>
    <n v="5"/>
    <x v="2"/>
    <s v="No"/>
    <s v="-"/>
    <s v="No"/>
    <n v="0"/>
    <n v="0"/>
    <x v="1"/>
  </r>
  <r>
    <n v="3349"/>
    <x v="93"/>
    <s v="Ultimate"/>
    <d v="2024-06-23T00:00:00"/>
    <s v="No"/>
    <n v="15"/>
    <x v="0"/>
    <s v="Yes"/>
    <n v="30"/>
    <s v="Yes"/>
    <n v="20"/>
    <n v="3"/>
    <x v="3"/>
  </r>
  <r>
    <n v="3350"/>
    <x v="118"/>
    <s v="Standard"/>
    <d v="2024-06-24T00:00:00"/>
    <s v="Yes"/>
    <n v="10"/>
    <x v="1"/>
    <s v="No"/>
    <s v="-"/>
    <s v="Yes"/>
    <n v="20"/>
    <n v="15"/>
    <x v="7"/>
  </r>
  <r>
    <n v="3351"/>
    <x v="119"/>
    <s v="Core"/>
    <d v="2024-06-25T00:00:00"/>
    <s v="No"/>
    <n v="5"/>
    <x v="0"/>
    <s v="No"/>
    <s v="-"/>
    <s v="No"/>
    <n v="0"/>
    <n v="1"/>
    <x v="4"/>
  </r>
  <r>
    <n v="3352"/>
    <x v="120"/>
    <s v="Ultimate"/>
    <d v="2024-06-26T00:00:00"/>
    <s v="Yes"/>
    <n v="15"/>
    <x v="2"/>
    <s v="Yes"/>
    <n v="30"/>
    <s v="Yes"/>
    <n v="20"/>
    <n v="7"/>
    <x v="12"/>
  </r>
  <r>
    <n v="3353"/>
    <x v="121"/>
    <s v="Standard"/>
    <d v="2024-06-27T00:00:00"/>
    <s v="No"/>
    <n v="10"/>
    <x v="0"/>
    <s v="No"/>
    <s v="-"/>
    <s v="Yes"/>
    <n v="20"/>
    <n v="10"/>
    <x v="2"/>
  </r>
  <r>
    <n v="3354"/>
    <x v="122"/>
    <s v="Core"/>
    <d v="2024-06-28T00:00:00"/>
    <s v="Yes"/>
    <n v="5"/>
    <x v="1"/>
    <s v="No"/>
    <s v="-"/>
    <s v="No"/>
    <n v="0"/>
    <n v="0"/>
    <x v="1"/>
  </r>
  <r>
    <n v="3355"/>
    <x v="123"/>
    <s v="Ultimate"/>
    <d v="2024-06-29T00:00:00"/>
    <s v="No"/>
    <n v="15"/>
    <x v="0"/>
    <s v="Yes"/>
    <n v="30"/>
    <s v="Yes"/>
    <n v="20"/>
    <n v="20"/>
    <x v="8"/>
  </r>
  <r>
    <n v="3356"/>
    <x v="124"/>
    <s v="Standard"/>
    <d v="2024-06-30T00:00:00"/>
    <s v="Yes"/>
    <n v="10"/>
    <x v="2"/>
    <s v="No"/>
    <s v="-"/>
    <s v="Yes"/>
    <n v="20"/>
    <n v="15"/>
    <x v="7"/>
  </r>
  <r>
    <n v="3357"/>
    <x v="125"/>
    <s v="Core"/>
    <d v="2024-07-01T00:00:00"/>
    <s v="No"/>
    <n v="5"/>
    <x v="0"/>
    <s v="No"/>
    <s v="-"/>
    <s v="No"/>
    <n v="0"/>
    <n v="1"/>
    <x v="4"/>
  </r>
  <r>
    <n v="3358"/>
    <x v="126"/>
    <s v="Ultimate"/>
    <d v="2024-07-02T00:00:00"/>
    <s v="Yes"/>
    <n v="15"/>
    <x v="1"/>
    <s v="Yes"/>
    <n v="30"/>
    <s v="Yes"/>
    <n v="20"/>
    <n v="3"/>
    <x v="3"/>
  </r>
  <r>
    <n v="3359"/>
    <x v="127"/>
    <s v="Standard"/>
    <d v="2024-07-03T00:00:00"/>
    <s v="No"/>
    <n v="10"/>
    <x v="0"/>
    <s v="No"/>
    <s v="-"/>
    <s v="Yes"/>
    <n v="20"/>
    <n v="10"/>
    <x v="2"/>
  </r>
  <r>
    <n v="3360"/>
    <x v="128"/>
    <s v="Core"/>
    <d v="2024-07-04T00:00:00"/>
    <s v="Yes"/>
    <n v="5"/>
    <x v="2"/>
    <s v="No"/>
    <s v="-"/>
    <s v="No"/>
    <n v="0"/>
    <n v="0"/>
    <x v="1"/>
  </r>
  <r>
    <n v="3361"/>
    <x v="129"/>
    <s v="Ultimate"/>
    <d v="2024-07-05T00:00:00"/>
    <s v="No"/>
    <n v="15"/>
    <x v="0"/>
    <s v="Yes"/>
    <n v="30"/>
    <s v="Yes"/>
    <n v="20"/>
    <n v="15"/>
    <x v="14"/>
  </r>
  <r>
    <n v="3362"/>
    <x v="130"/>
    <s v="Standard"/>
    <d v="2024-07-06T00:00:00"/>
    <s v="Yes"/>
    <n v="10"/>
    <x v="1"/>
    <s v="No"/>
    <s v="-"/>
    <s v="Yes"/>
    <n v="20"/>
    <n v="15"/>
    <x v="7"/>
  </r>
  <r>
    <n v="3363"/>
    <x v="131"/>
    <s v="Core"/>
    <d v="2024-07-07T00:00:00"/>
    <s v="No"/>
    <n v="5"/>
    <x v="0"/>
    <s v="No"/>
    <s v="-"/>
    <s v="No"/>
    <n v="0"/>
    <n v="1"/>
    <x v="4"/>
  </r>
  <r>
    <n v="3364"/>
    <x v="132"/>
    <s v="Ultimate"/>
    <d v="2024-07-08T00:00:00"/>
    <s v="Yes"/>
    <n v="15"/>
    <x v="2"/>
    <s v="Yes"/>
    <n v="30"/>
    <s v="Yes"/>
    <n v="20"/>
    <n v="7"/>
    <x v="12"/>
  </r>
  <r>
    <n v="3365"/>
    <x v="133"/>
    <s v="Standard"/>
    <d v="2024-07-09T00:00:00"/>
    <s v="No"/>
    <n v="10"/>
    <x v="0"/>
    <s v="No"/>
    <s v="-"/>
    <s v="Yes"/>
    <n v="20"/>
    <n v="10"/>
    <x v="2"/>
  </r>
  <r>
    <n v="3366"/>
    <x v="134"/>
    <s v="Core"/>
    <d v="2024-07-10T00:00:00"/>
    <s v="Yes"/>
    <n v="5"/>
    <x v="0"/>
    <s v="No"/>
    <s v="-"/>
    <s v="No"/>
    <n v="0"/>
    <n v="0"/>
    <x v="1"/>
  </r>
  <r>
    <n v="3367"/>
    <x v="135"/>
    <s v="Ultimate"/>
    <d v="2024-07-11T00:00:00"/>
    <s v="No"/>
    <n v="15"/>
    <x v="2"/>
    <s v="Yes"/>
    <n v="30"/>
    <s v="Yes"/>
    <n v="20"/>
    <n v="7"/>
    <x v="12"/>
  </r>
  <r>
    <n v="3368"/>
    <x v="136"/>
    <s v="Standard"/>
    <d v="2024-07-12T00:00:00"/>
    <s v="Yes"/>
    <n v="10"/>
    <x v="1"/>
    <s v="No"/>
    <s v="-"/>
    <s v="Yes"/>
    <n v="20"/>
    <n v="10"/>
    <x v="2"/>
  </r>
  <r>
    <n v="3369"/>
    <x v="137"/>
    <s v="Core"/>
    <d v="2024-07-13T00:00:00"/>
    <s v="No"/>
    <n v="5"/>
    <x v="2"/>
    <s v="No"/>
    <s v="-"/>
    <s v="No"/>
    <n v="0"/>
    <n v="1"/>
    <x v="4"/>
  </r>
  <r>
    <n v="3370"/>
    <x v="138"/>
    <s v="Ultimate"/>
    <d v="2024-07-14T00:00:00"/>
    <s v="Yes"/>
    <n v="15"/>
    <x v="0"/>
    <s v="Yes"/>
    <n v="30"/>
    <s v="Yes"/>
    <n v="20"/>
    <n v="15"/>
    <x v="14"/>
  </r>
  <r>
    <n v="3371"/>
    <x v="139"/>
    <s v="Standard"/>
    <d v="2024-07-15T00:00:00"/>
    <s v="No"/>
    <n v="10"/>
    <x v="0"/>
    <s v="No"/>
    <s v="-"/>
    <s v="Yes"/>
    <n v="20"/>
    <n v="5"/>
    <x v="13"/>
  </r>
  <r>
    <n v="3372"/>
    <x v="140"/>
    <s v="Core"/>
    <d v="2024-07-16T00:00:00"/>
    <s v="Yes"/>
    <n v="5"/>
    <x v="1"/>
    <s v="No"/>
    <s v="-"/>
    <s v="No"/>
    <n v="0"/>
    <n v="0"/>
    <x v="1"/>
  </r>
  <r>
    <n v="3373"/>
    <x v="141"/>
    <s v="Ultimate"/>
    <d v="2024-07-17T00:00:00"/>
    <s v="No"/>
    <n v="15"/>
    <x v="2"/>
    <s v="Yes"/>
    <n v="30"/>
    <s v="Yes"/>
    <n v="20"/>
    <n v="20"/>
    <x v="8"/>
  </r>
  <r>
    <n v="3374"/>
    <x v="142"/>
    <s v="Standard"/>
    <d v="2024-07-18T00:00:00"/>
    <s v="Yes"/>
    <n v="10"/>
    <x v="2"/>
    <s v="No"/>
    <s v="-"/>
    <s v="Yes"/>
    <n v="20"/>
    <n v="12"/>
    <x v="10"/>
  </r>
  <r>
    <n v="3375"/>
    <x v="143"/>
    <s v="Core"/>
    <d v="2024-07-19T00:00:00"/>
    <s v="No"/>
    <n v="5"/>
    <x v="0"/>
    <s v="No"/>
    <s v="-"/>
    <s v="No"/>
    <n v="0"/>
    <n v="2"/>
    <x v="11"/>
  </r>
  <r>
    <n v="3376"/>
    <x v="144"/>
    <s v="Ultimate"/>
    <d v="2024-07-20T00:00:00"/>
    <s v="Yes"/>
    <n v="15"/>
    <x v="1"/>
    <s v="Yes"/>
    <n v="30"/>
    <s v="Yes"/>
    <n v="20"/>
    <n v="5"/>
    <x v="0"/>
  </r>
  <r>
    <n v="3377"/>
    <x v="145"/>
    <s v="Standard"/>
    <d v="2024-07-21T00:00:00"/>
    <s v="No"/>
    <n v="10"/>
    <x v="0"/>
    <s v="No"/>
    <s v="-"/>
    <s v="Yes"/>
    <n v="20"/>
    <n v="10"/>
    <x v="2"/>
  </r>
  <r>
    <n v="3378"/>
    <x v="146"/>
    <s v="Core"/>
    <d v="2024-07-22T00:00:00"/>
    <s v="Yes"/>
    <n v="5"/>
    <x v="2"/>
    <s v="No"/>
    <s v="-"/>
    <s v="No"/>
    <n v="0"/>
    <n v="0"/>
    <x v="1"/>
  </r>
  <r>
    <n v="3379"/>
    <x v="147"/>
    <s v="Ultimate"/>
    <d v="2024-07-23T00:00:00"/>
    <s v="No"/>
    <n v="15"/>
    <x v="0"/>
    <s v="Yes"/>
    <n v="30"/>
    <s v="Yes"/>
    <n v="20"/>
    <n v="3"/>
    <x v="3"/>
  </r>
  <r>
    <n v="3380"/>
    <x v="148"/>
    <s v="Standard"/>
    <d v="2024-07-24T00:00:00"/>
    <s v="Yes"/>
    <n v="10"/>
    <x v="1"/>
    <s v="No"/>
    <s v="-"/>
    <s v="Yes"/>
    <n v="20"/>
    <n v="15"/>
    <x v="7"/>
  </r>
  <r>
    <n v="3381"/>
    <x v="149"/>
    <s v="Core"/>
    <d v="2024-07-25T00:00:00"/>
    <s v="No"/>
    <n v="5"/>
    <x v="0"/>
    <s v="No"/>
    <s v="-"/>
    <s v="No"/>
    <n v="0"/>
    <n v="1"/>
    <x v="4"/>
  </r>
  <r>
    <n v="3382"/>
    <x v="150"/>
    <s v="Ultimate"/>
    <d v="2024-07-26T00:00:00"/>
    <s v="Yes"/>
    <n v="15"/>
    <x v="2"/>
    <s v="Yes"/>
    <n v="30"/>
    <s v="Yes"/>
    <n v="20"/>
    <n v="7"/>
    <x v="12"/>
  </r>
  <r>
    <n v="3383"/>
    <x v="151"/>
    <s v="Standard"/>
    <d v="2024-07-27T00:00:00"/>
    <s v="No"/>
    <n v="10"/>
    <x v="0"/>
    <s v="No"/>
    <s v="-"/>
    <s v="Yes"/>
    <n v="20"/>
    <n v="10"/>
    <x v="2"/>
  </r>
  <r>
    <n v="3384"/>
    <x v="152"/>
    <s v="Core"/>
    <d v="2024-07-28T00:00:00"/>
    <s v="Yes"/>
    <n v="5"/>
    <x v="1"/>
    <s v="No"/>
    <s v="-"/>
    <s v="No"/>
    <n v="0"/>
    <n v="0"/>
    <x v="1"/>
  </r>
  <r>
    <n v="3385"/>
    <x v="153"/>
    <s v="Ultimate"/>
    <d v="2024-07-29T00:00:00"/>
    <s v="No"/>
    <n v="15"/>
    <x v="0"/>
    <s v="Yes"/>
    <n v="30"/>
    <s v="Yes"/>
    <n v="20"/>
    <n v="20"/>
    <x v="8"/>
  </r>
  <r>
    <n v="3386"/>
    <x v="154"/>
    <s v="Standard"/>
    <d v="2024-07-30T00:00:00"/>
    <s v="Yes"/>
    <n v="10"/>
    <x v="2"/>
    <s v="No"/>
    <s v="-"/>
    <s v="Yes"/>
    <n v="20"/>
    <n v="15"/>
    <x v="7"/>
  </r>
  <r>
    <n v="3387"/>
    <x v="155"/>
    <s v="Core"/>
    <d v="2024-07-31T00:00:00"/>
    <s v="No"/>
    <n v="5"/>
    <x v="0"/>
    <s v="No"/>
    <s v="-"/>
    <s v="No"/>
    <n v="0"/>
    <n v="1"/>
    <x v="4"/>
  </r>
  <r>
    <n v="3388"/>
    <x v="156"/>
    <s v="Ultimate"/>
    <d v="2024-08-01T00:00:00"/>
    <s v="Yes"/>
    <n v="15"/>
    <x v="1"/>
    <s v="Yes"/>
    <n v="30"/>
    <s v="Yes"/>
    <n v="20"/>
    <n v="3"/>
    <x v="3"/>
  </r>
  <r>
    <n v="3389"/>
    <x v="157"/>
    <s v="Standard"/>
    <d v="2024-08-02T00:00:00"/>
    <s v="No"/>
    <n v="10"/>
    <x v="0"/>
    <s v="No"/>
    <s v="-"/>
    <s v="Yes"/>
    <n v="20"/>
    <n v="10"/>
    <x v="2"/>
  </r>
  <r>
    <n v="3390"/>
    <x v="158"/>
    <s v="Core"/>
    <d v="2024-08-03T00:00:00"/>
    <s v="Yes"/>
    <n v="5"/>
    <x v="2"/>
    <s v="No"/>
    <s v="-"/>
    <s v="No"/>
    <n v="0"/>
    <n v="0"/>
    <x v="1"/>
  </r>
  <r>
    <n v="3391"/>
    <x v="58"/>
    <s v="Ultimate"/>
    <d v="2024-08-04T00:00:00"/>
    <s v="No"/>
    <n v="15"/>
    <x v="0"/>
    <s v="Yes"/>
    <n v="30"/>
    <s v="Yes"/>
    <n v="20"/>
    <n v="15"/>
    <x v="14"/>
  </r>
  <r>
    <n v="3392"/>
    <x v="159"/>
    <s v="Standard"/>
    <d v="2024-08-05T00:00:00"/>
    <s v="Yes"/>
    <n v="10"/>
    <x v="1"/>
    <s v="No"/>
    <s v="-"/>
    <s v="Yes"/>
    <n v="20"/>
    <n v="15"/>
    <x v="7"/>
  </r>
  <r>
    <n v="3393"/>
    <x v="160"/>
    <s v="Core"/>
    <d v="2024-08-06T00:00:00"/>
    <s v="No"/>
    <n v="5"/>
    <x v="0"/>
    <s v="No"/>
    <s v="-"/>
    <s v="No"/>
    <n v="0"/>
    <n v="1"/>
    <x v="4"/>
  </r>
  <r>
    <n v="3394"/>
    <x v="161"/>
    <s v="Ultimate"/>
    <d v="2024-08-07T00:00:00"/>
    <s v="Yes"/>
    <n v="15"/>
    <x v="2"/>
    <s v="Yes"/>
    <n v="30"/>
    <s v="Yes"/>
    <n v="20"/>
    <n v="7"/>
    <x v="12"/>
  </r>
  <r>
    <n v="3395"/>
    <x v="162"/>
    <s v="Standard"/>
    <d v="2024-08-08T00:00:00"/>
    <s v="No"/>
    <n v="10"/>
    <x v="0"/>
    <s v="No"/>
    <s v="-"/>
    <s v="Yes"/>
    <n v="20"/>
    <n v="10"/>
    <x v="2"/>
  </r>
  <r>
    <n v="3396"/>
    <x v="163"/>
    <s v="Core"/>
    <d v="2024-08-09T00:00:00"/>
    <s v="Yes"/>
    <n v="5"/>
    <x v="1"/>
    <s v="No"/>
    <s v="-"/>
    <s v="No"/>
    <n v="0"/>
    <n v="0"/>
    <x v="1"/>
  </r>
  <r>
    <n v="3397"/>
    <x v="90"/>
    <s v="Ultimate"/>
    <d v="2024-08-10T00:00:00"/>
    <s v="No"/>
    <n v="15"/>
    <x v="0"/>
    <s v="Yes"/>
    <n v="30"/>
    <s v="Yes"/>
    <n v="20"/>
    <n v="20"/>
    <x v="8"/>
  </r>
  <r>
    <n v="3398"/>
    <x v="164"/>
    <s v="Standard"/>
    <d v="2024-08-11T00:00:00"/>
    <s v="Yes"/>
    <n v="10"/>
    <x v="2"/>
    <s v="No"/>
    <s v="-"/>
    <s v="Yes"/>
    <n v="20"/>
    <n v="15"/>
    <x v="7"/>
  </r>
  <r>
    <n v="3399"/>
    <x v="165"/>
    <s v="Core"/>
    <d v="2024-08-12T00:00:00"/>
    <s v="No"/>
    <n v="5"/>
    <x v="0"/>
    <s v="No"/>
    <s v="-"/>
    <s v="No"/>
    <n v="0"/>
    <n v="1"/>
    <x v="4"/>
  </r>
  <r>
    <n v="3400"/>
    <x v="166"/>
    <s v="Ultimate"/>
    <d v="2024-08-13T00:00:00"/>
    <s v="Yes"/>
    <n v="15"/>
    <x v="1"/>
    <s v="Yes"/>
    <n v="30"/>
    <s v="Yes"/>
    <n v="20"/>
    <n v="5"/>
    <x v="0"/>
  </r>
  <r>
    <n v="3401"/>
    <x v="167"/>
    <s v="Standard"/>
    <d v="2024-08-14T00:00:00"/>
    <s v="No"/>
    <n v="10"/>
    <x v="0"/>
    <s v="No"/>
    <s v="-"/>
    <s v="Yes"/>
    <n v="20"/>
    <n v="10"/>
    <x v="2"/>
  </r>
  <r>
    <n v="3402"/>
    <x v="168"/>
    <s v="Core"/>
    <d v="2024-08-15T00:00:00"/>
    <s v="Yes"/>
    <n v="5"/>
    <x v="2"/>
    <s v="No"/>
    <s v="-"/>
    <s v="No"/>
    <n v="0"/>
    <n v="0"/>
    <x v="1"/>
  </r>
  <r>
    <n v="3403"/>
    <x v="169"/>
    <s v="Ultimate"/>
    <d v="2024-08-16T00:00:00"/>
    <s v="No"/>
    <n v="15"/>
    <x v="0"/>
    <s v="Yes"/>
    <n v="30"/>
    <s v="Yes"/>
    <n v="20"/>
    <n v="3"/>
    <x v="3"/>
  </r>
  <r>
    <n v="3404"/>
    <x v="170"/>
    <s v="Standard"/>
    <d v="2024-08-17T00:00:00"/>
    <s v="Yes"/>
    <n v="10"/>
    <x v="1"/>
    <s v="No"/>
    <s v="-"/>
    <s v="Yes"/>
    <n v="20"/>
    <n v="15"/>
    <x v="7"/>
  </r>
  <r>
    <n v="3405"/>
    <x v="171"/>
    <s v="Core"/>
    <d v="2024-08-18T00:00:00"/>
    <s v="No"/>
    <n v="5"/>
    <x v="0"/>
    <s v="No"/>
    <s v="-"/>
    <s v="No"/>
    <n v="0"/>
    <n v="1"/>
    <x v="4"/>
  </r>
  <r>
    <n v="3406"/>
    <x v="172"/>
    <s v="Core"/>
    <d v="2024-08-19T00:00:00"/>
    <s v="Yes"/>
    <n v="5"/>
    <x v="0"/>
    <s v="No"/>
    <s v="-"/>
    <s v="No"/>
    <n v="0"/>
    <n v="0"/>
    <x v="1"/>
  </r>
  <r>
    <n v="3407"/>
    <x v="173"/>
    <s v="Ultimate"/>
    <d v="2024-08-20T00:00:00"/>
    <s v="No"/>
    <n v="15"/>
    <x v="2"/>
    <s v="Yes"/>
    <n v="30"/>
    <s v="Yes"/>
    <n v="20"/>
    <n v="7"/>
    <x v="12"/>
  </r>
  <r>
    <n v="3408"/>
    <x v="174"/>
    <s v="Standard"/>
    <d v="2024-08-21T00:00:00"/>
    <s v="Yes"/>
    <n v="10"/>
    <x v="1"/>
    <s v="No"/>
    <s v="-"/>
    <s v="Yes"/>
    <n v="20"/>
    <n v="10"/>
    <x v="2"/>
  </r>
  <r>
    <n v="3409"/>
    <x v="175"/>
    <s v="Core"/>
    <d v="2024-08-22T00:00:00"/>
    <s v="No"/>
    <n v="5"/>
    <x v="2"/>
    <s v="No"/>
    <s v="-"/>
    <s v="No"/>
    <n v="0"/>
    <n v="1"/>
    <x v="4"/>
  </r>
  <r>
    <n v="3410"/>
    <x v="176"/>
    <s v="Ultimate"/>
    <d v="2024-08-23T00:00:00"/>
    <s v="Yes"/>
    <n v="15"/>
    <x v="0"/>
    <s v="Yes"/>
    <n v="30"/>
    <s v="Yes"/>
    <n v="20"/>
    <n v="15"/>
    <x v="14"/>
  </r>
  <r>
    <n v="3411"/>
    <x v="177"/>
    <s v="Standard"/>
    <d v="2024-08-24T00:00:00"/>
    <s v="No"/>
    <n v="10"/>
    <x v="0"/>
    <s v="No"/>
    <s v="-"/>
    <s v="Yes"/>
    <n v="20"/>
    <n v="5"/>
    <x v="13"/>
  </r>
  <r>
    <n v="3412"/>
    <x v="178"/>
    <s v="Core"/>
    <d v="2024-08-25T00:00:00"/>
    <s v="Yes"/>
    <n v="5"/>
    <x v="1"/>
    <s v="No"/>
    <s v="-"/>
    <s v="No"/>
    <n v="0"/>
    <n v="0"/>
    <x v="1"/>
  </r>
  <r>
    <n v="3413"/>
    <x v="179"/>
    <s v="Ultimate"/>
    <d v="2024-08-26T00:00:00"/>
    <s v="No"/>
    <n v="15"/>
    <x v="2"/>
    <s v="Yes"/>
    <n v="30"/>
    <s v="Yes"/>
    <n v="20"/>
    <n v="20"/>
    <x v="8"/>
  </r>
  <r>
    <n v="3414"/>
    <x v="180"/>
    <s v="Standard"/>
    <d v="2024-08-27T00:00:00"/>
    <s v="Yes"/>
    <n v="10"/>
    <x v="2"/>
    <s v="No"/>
    <s v="-"/>
    <s v="Yes"/>
    <n v="20"/>
    <n v="12"/>
    <x v="10"/>
  </r>
  <r>
    <n v="3415"/>
    <x v="181"/>
    <s v="Core"/>
    <d v="2024-08-28T00:00:00"/>
    <s v="No"/>
    <n v="5"/>
    <x v="0"/>
    <s v="No"/>
    <s v="-"/>
    <s v="No"/>
    <n v="0"/>
    <n v="2"/>
    <x v="11"/>
  </r>
  <r>
    <n v="3416"/>
    <x v="182"/>
    <s v="Ultimate"/>
    <d v="2024-08-29T00:00:00"/>
    <s v="Yes"/>
    <n v="15"/>
    <x v="1"/>
    <s v="Yes"/>
    <n v="30"/>
    <s v="Yes"/>
    <n v="20"/>
    <n v="5"/>
    <x v="0"/>
  </r>
  <r>
    <n v="3417"/>
    <x v="183"/>
    <s v="Standard"/>
    <d v="2024-08-30T00:00:00"/>
    <s v="No"/>
    <n v="10"/>
    <x v="0"/>
    <s v="No"/>
    <s v="-"/>
    <s v="Yes"/>
    <n v="20"/>
    <n v="10"/>
    <x v="2"/>
  </r>
  <r>
    <n v="3418"/>
    <x v="184"/>
    <s v="Core"/>
    <d v="2024-08-31T00:00:00"/>
    <s v="Yes"/>
    <n v="5"/>
    <x v="2"/>
    <s v="No"/>
    <s v="-"/>
    <s v="No"/>
    <n v="0"/>
    <n v="0"/>
    <x v="1"/>
  </r>
  <r>
    <n v="3419"/>
    <x v="185"/>
    <s v="Ultimate"/>
    <d v="2024-09-01T00:00:00"/>
    <s v="No"/>
    <n v="15"/>
    <x v="0"/>
    <s v="Yes"/>
    <n v="30"/>
    <s v="Yes"/>
    <n v="20"/>
    <n v="3"/>
    <x v="3"/>
  </r>
  <r>
    <n v="3420"/>
    <x v="186"/>
    <s v="Standard"/>
    <d v="2024-09-02T00:00:00"/>
    <s v="Yes"/>
    <n v="10"/>
    <x v="1"/>
    <s v="No"/>
    <s v="-"/>
    <s v="Yes"/>
    <n v="20"/>
    <n v="15"/>
    <x v="7"/>
  </r>
  <r>
    <n v="3421"/>
    <x v="15"/>
    <s v="Core"/>
    <d v="2024-09-03T00:00:00"/>
    <s v="No"/>
    <n v="5"/>
    <x v="0"/>
    <s v="No"/>
    <s v="-"/>
    <s v="No"/>
    <n v="0"/>
    <n v="1"/>
    <x v="4"/>
  </r>
  <r>
    <n v="3422"/>
    <x v="187"/>
    <s v="Ultimate"/>
    <d v="2024-09-04T00:00:00"/>
    <s v="Yes"/>
    <n v="15"/>
    <x v="2"/>
    <s v="Yes"/>
    <n v="30"/>
    <s v="Yes"/>
    <n v="20"/>
    <n v="7"/>
    <x v="12"/>
  </r>
  <r>
    <n v="3423"/>
    <x v="188"/>
    <s v="Standard"/>
    <d v="2024-09-05T00:00:00"/>
    <s v="No"/>
    <n v="10"/>
    <x v="0"/>
    <s v="No"/>
    <s v="-"/>
    <s v="Yes"/>
    <n v="20"/>
    <n v="10"/>
    <x v="2"/>
  </r>
  <r>
    <n v="3424"/>
    <x v="14"/>
    <s v="Core"/>
    <d v="2024-09-06T00:00:00"/>
    <s v="Yes"/>
    <n v="5"/>
    <x v="1"/>
    <s v="No"/>
    <s v="-"/>
    <s v="No"/>
    <n v="0"/>
    <n v="0"/>
    <x v="1"/>
  </r>
  <r>
    <n v="3425"/>
    <x v="189"/>
    <s v="Ultimate"/>
    <d v="2024-09-07T00:00:00"/>
    <s v="No"/>
    <n v="15"/>
    <x v="0"/>
    <s v="Yes"/>
    <n v="30"/>
    <s v="Yes"/>
    <n v="20"/>
    <n v="20"/>
    <x v="8"/>
  </r>
  <r>
    <n v="3426"/>
    <x v="167"/>
    <s v="Standard"/>
    <d v="2024-09-08T00:00:00"/>
    <s v="Yes"/>
    <n v="10"/>
    <x v="2"/>
    <s v="No"/>
    <s v="-"/>
    <s v="Yes"/>
    <n v="20"/>
    <n v="15"/>
    <x v="7"/>
  </r>
  <r>
    <n v="3427"/>
    <x v="190"/>
    <s v="Core"/>
    <d v="2024-09-09T00:00:00"/>
    <s v="No"/>
    <n v="5"/>
    <x v="0"/>
    <s v="No"/>
    <s v="-"/>
    <s v="No"/>
    <n v="0"/>
    <n v="1"/>
    <x v="4"/>
  </r>
  <r>
    <n v="3428"/>
    <x v="191"/>
    <s v="Ultimate"/>
    <d v="2024-09-10T00:00:00"/>
    <s v="Yes"/>
    <n v="15"/>
    <x v="1"/>
    <s v="Yes"/>
    <n v="30"/>
    <s v="Yes"/>
    <n v="20"/>
    <n v="3"/>
    <x v="3"/>
  </r>
  <r>
    <n v="3429"/>
    <x v="192"/>
    <s v="Standard"/>
    <d v="2024-09-11T00:00:00"/>
    <s v="No"/>
    <n v="10"/>
    <x v="0"/>
    <s v="No"/>
    <s v="-"/>
    <s v="Yes"/>
    <n v="20"/>
    <n v="10"/>
    <x v="2"/>
  </r>
  <r>
    <n v="3430"/>
    <x v="193"/>
    <s v="Core"/>
    <d v="2024-09-12T00:00:00"/>
    <s v="Yes"/>
    <n v="5"/>
    <x v="2"/>
    <s v="No"/>
    <s v="-"/>
    <s v="No"/>
    <n v="0"/>
    <n v="0"/>
    <x v="1"/>
  </r>
  <r>
    <n v="3431"/>
    <x v="194"/>
    <s v="Ultimate"/>
    <d v="2024-09-13T00:00:00"/>
    <s v="No"/>
    <n v="15"/>
    <x v="0"/>
    <s v="Yes"/>
    <n v="30"/>
    <s v="Yes"/>
    <n v="20"/>
    <n v="15"/>
    <x v="14"/>
  </r>
  <r>
    <n v="3432"/>
    <x v="195"/>
    <s v="Standard"/>
    <d v="2024-09-14T00:00:00"/>
    <s v="Yes"/>
    <n v="10"/>
    <x v="1"/>
    <s v="No"/>
    <s v="-"/>
    <s v="Yes"/>
    <n v="20"/>
    <n v="15"/>
    <x v="7"/>
  </r>
  <r>
    <n v="3433"/>
    <x v="196"/>
    <s v="Core"/>
    <d v="2024-09-15T00:00:00"/>
    <s v="No"/>
    <n v="5"/>
    <x v="0"/>
    <s v="No"/>
    <s v="-"/>
    <s v="No"/>
    <n v="0"/>
    <n v="1"/>
    <x v="4"/>
  </r>
  <r>
    <n v="3434"/>
    <x v="197"/>
    <s v="Ultimate"/>
    <d v="2024-09-16T00:00:00"/>
    <s v="Yes"/>
    <n v="15"/>
    <x v="2"/>
    <s v="Yes"/>
    <n v="30"/>
    <s v="Yes"/>
    <n v="20"/>
    <n v="7"/>
    <x v="12"/>
  </r>
  <r>
    <n v="3435"/>
    <x v="198"/>
    <s v="Standard"/>
    <d v="2024-09-17T00:00:00"/>
    <s v="No"/>
    <n v="10"/>
    <x v="0"/>
    <s v="No"/>
    <s v="-"/>
    <s v="Yes"/>
    <n v="20"/>
    <n v="10"/>
    <x v="2"/>
  </r>
  <r>
    <n v="3436"/>
    <x v="199"/>
    <s v="Core"/>
    <d v="2024-09-18T00:00:00"/>
    <s v="Yes"/>
    <n v="5"/>
    <x v="0"/>
    <s v="No"/>
    <s v="-"/>
    <s v="No"/>
    <n v="0"/>
    <n v="0"/>
    <x v="1"/>
  </r>
  <r>
    <n v="3437"/>
    <x v="200"/>
    <s v="Ultimate"/>
    <d v="2024-09-19T00:00:00"/>
    <s v="No"/>
    <n v="15"/>
    <x v="2"/>
    <s v="Yes"/>
    <n v="30"/>
    <s v="Yes"/>
    <n v="20"/>
    <n v="7"/>
    <x v="12"/>
  </r>
  <r>
    <n v="3438"/>
    <x v="201"/>
    <s v="Standard"/>
    <d v="2024-09-20T00:00:00"/>
    <s v="Yes"/>
    <n v="10"/>
    <x v="1"/>
    <s v="No"/>
    <s v="-"/>
    <s v="Yes"/>
    <n v="20"/>
    <n v="10"/>
    <x v="2"/>
  </r>
  <r>
    <n v="3439"/>
    <x v="202"/>
    <s v="Core"/>
    <d v="2024-09-21T00:00:00"/>
    <s v="No"/>
    <n v="5"/>
    <x v="2"/>
    <s v="No"/>
    <s v="-"/>
    <s v="No"/>
    <n v="0"/>
    <n v="1"/>
    <x v="4"/>
  </r>
  <r>
    <n v="3440"/>
    <x v="203"/>
    <s v="Ultimate"/>
    <d v="2024-09-22T00:00:00"/>
    <s v="Yes"/>
    <n v="15"/>
    <x v="0"/>
    <s v="Yes"/>
    <n v="30"/>
    <s v="Yes"/>
    <n v="20"/>
    <n v="15"/>
    <x v="14"/>
  </r>
  <r>
    <n v="3441"/>
    <x v="204"/>
    <s v="Standard"/>
    <d v="2024-09-23T00:00:00"/>
    <s v="No"/>
    <n v="10"/>
    <x v="0"/>
    <s v="No"/>
    <s v="-"/>
    <s v="Yes"/>
    <n v="20"/>
    <n v="5"/>
    <x v="13"/>
  </r>
  <r>
    <n v="3442"/>
    <x v="205"/>
    <s v="Core"/>
    <d v="2024-09-24T00:00:00"/>
    <s v="Yes"/>
    <n v="5"/>
    <x v="1"/>
    <s v="No"/>
    <s v="-"/>
    <s v="No"/>
    <n v="0"/>
    <n v="0"/>
    <x v="1"/>
  </r>
  <r>
    <n v="3443"/>
    <x v="206"/>
    <s v="Ultimate"/>
    <d v="2024-09-25T00:00:00"/>
    <s v="No"/>
    <n v="15"/>
    <x v="2"/>
    <s v="Yes"/>
    <n v="30"/>
    <s v="Yes"/>
    <n v="20"/>
    <n v="20"/>
    <x v="8"/>
  </r>
  <r>
    <n v="3444"/>
    <x v="207"/>
    <s v="Standard"/>
    <d v="2024-09-26T00:00:00"/>
    <s v="Yes"/>
    <n v="10"/>
    <x v="2"/>
    <s v="No"/>
    <s v="-"/>
    <s v="Yes"/>
    <n v="20"/>
    <n v="12"/>
    <x v="10"/>
  </r>
  <r>
    <n v="3445"/>
    <x v="37"/>
    <s v="Core"/>
    <d v="2024-09-27T00:00:00"/>
    <s v="No"/>
    <n v="5"/>
    <x v="0"/>
    <s v="No"/>
    <s v="-"/>
    <s v="No"/>
    <n v="0"/>
    <n v="2"/>
    <x v="11"/>
  </r>
  <r>
    <n v="3446"/>
    <x v="208"/>
    <s v="Ultimate"/>
    <d v="2024-09-28T00:00:00"/>
    <s v="Yes"/>
    <n v="15"/>
    <x v="1"/>
    <s v="Yes"/>
    <n v="30"/>
    <s v="Yes"/>
    <n v="20"/>
    <n v="5"/>
    <x v="0"/>
  </r>
  <r>
    <n v="3447"/>
    <x v="209"/>
    <s v="Standard"/>
    <d v="2024-09-29T00:00:00"/>
    <s v="No"/>
    <n v="10"/>
    <x v="0"/>
    <s v="No"/>
    <s v="-"/>
    <s v="Yes"/>
    <n v="20"/>
    <n v="10"/>
    <x v="2"/>
  </r>
  <r>
    <n v="3448"/>
    <x v="210"/>
    <s v="Core"/>
    <d v="2024-09-30T00:00:00"/>
    <s v="Yes"/>
    <n v="5"/>
    <x v="2"/>
    <s v="No"/>
    <s v="-"/>
    <s v="No"/>
    <n v="0"/>
    <n v="0"/>
    <x v="1"/>
  </r>
  <r>
    <n v="3449"/>
    <x v="211"/>
    <s v="Ultimate"/>
    <d v="2024-10-01T00:00:00"/>
    <s v="No"/>
    <n v="15"/>
    <x v="0"/>
    <s v="Yes"/>
    <n v="30"/>
    <s v="Yes"/>
    <n v="20"/>
    <n v="3"/>
    <x v="3"/>
  </r>
  <r>
    <n v="3450"/>
    <x v="212"/>
    <s v="Standard"/>
    <d v="2024-10-02T00:00:00"/>
    <s v="Yes"/>
    <n v="10"/>
    <x v="1"/>
    <s v="No"/>
    <s v="-"/>
    <s v="Yes"/>
    <n v="20"/>
    <n v="15"/>
    <x v="7"/>
  </r>
  <r>
    <n v="3451"/>
    <x v="213"/>
    <s v="Core"/>
    <d v="2024-10-03T00:00:00"/>
    <s v="No"/>
    <n v="5"/>
    <x v="0"/>
    <s v="No"/>
    <s v="-"/>
    <s v="No"/>
    <n v="0"/>
    <n v="1"/>
    <x v="4"/>
  </r>
  <r>
    <n v="3452"/>
    <x v="191"/>
    <s v="Ultimate"/>
    <d v="2024-10-04T00:00:00"/>
    <s v="Yes"/>
    <n v="15"/>
    <x v="2"/>
    <s v="Yes"/>
    <n v="30"/>
    <s v="Yes"/>
    <n v="20"/>
    <n v="7"/>
    <x v="12"/>
  </r>
  <r>
    <n v="3453"/>
    <x v="45"/>
    <s v="Standard"/>
    <d v="2024-10-05T00:00:00"/>
    <s v="No"/>
    <n v="10"/>
    <x v="0"/>
    <s v="No"/>
    <s v="-"/>
    <s v="Yes"/>
    <n v="20"/>
    <n v="10"/>
    <x v="2"/>
  </r>
  <r>
    <n v="3454"/>
    <x v="214"/>
    <s v="Core"/>
    <d v="2024-10-06T00:00:00"/>
    <s v="Yes"/>
    <n v="5"/>
    <x v="1"/>
    <s v="No"/>
    <s v="-"/>
    <s v="No"/>
    <n v="0"/>
    <n v="0"/>
    <x v="1"/>
  </r>
  <r>
    <n v="3455"/>
    <x v="215"/>
    <s v="Ultimate"/>
    <d v="2024-10-07T00:00:00"/>
    <s v="No"/>
    <n v="15"/>
    <x v="0"/>
    <s v="Yes"/>
    <n v="30"/>
    <s v="Yes"/>
    <n v="20"/>
    <n v="20"/>
    <x v="8"/>
  </r>
  <r>
    <n v="3456"/>
    <x v="216"/>
    <s v="Standard"/>
    <d v="2024-10-08T00:00:00"/>
    <s v="Yes"/>
    <n v="10"/>
    <x v="2"/>
    <s v="No"/>
    <s v="-"/>
    <s v="Yes"/>
    <n v="20"/>
    <n v="15"/>
    <x v="7"/>
  </r>
  <r>
    <n v="3457"/>
    <x v="217"/>
    <s v="Core"/>
    <d v="2024-10-09T00:00:00"/>
    <s v="No"/>
    <n v="5"/>
    <x v="0"/>
    <s v="No"/>
    <s v="-"/>
    <s v="No"/>
    <n v="0"/>
    <n v="1"/>
    <x v="4"/>
  </r>
  <r>
    <n v="3458"/>
    <x v="218"/>
    <s v="Ultimate"/>
    <d v="2024-10-10T00:00:00"/>
    <s v="Yes"/>
    <n v="15"/>
    <x v="1"/>
    <s v="Yes"/>
    <n v="30"/>
    <s v="Yes"/>
    <n v="20"/>
    <n v="3"/>
    <x v="3"/>
  </r>
  <r>
    <n v="3459"/>
    <x v="219"/>
    <s v="Standard"/>
    <d v="2024-10-11T00:00:00"/>
    <s v="No"/>
    <n v="10"/>
    <x v="0"/>
    <s v="No"/>
    <s v="-"/>
    <s v="Yes"/>
    <n v="20"/>
    <n v="10"/>
    <x v="2"/>
  </r>
  <r>
    <n v="3460"/>
    <x v="127"/>
    <s v="Core"/>
    <d v="2024-10-12T00:00:00"/>
    <s v="Yes"/>
    <n v="5"/>
    <x v="2"/>
    <s v="No"/>
    <s v="-"/>
    <s v="No"/>
    <n v="0"/>
    <n v="0"/>
    <x v="1"/>
  </r>
  <r>
    <n v="3461"/>
    <x v="220"/>
    <s v="Ultimate"/>
    <d v="2024-10-13T00:00:00"/>
    <s v="No"/>
    <n v="15"/>
    <x v="0"/>
    <s v="Yes"/>
    <n v="30"/>
    <s v="Yes"/>
    <n v="20"/>
    <n v="15"/>
    <x v="14"/>
  </r>
  <r>
    <n v="3462"/>
    <x v="221"/>
    <s v="Standard"/>
    <d v="2024-10-14T00:00:00"/>
    <s v="Yes"/>
    <n v="10"/>
    <x v="1"/>
    <s v="No"/>
    <s v="-"/>
    <s v="Yes"/>
    <n v="20"/>
    <n v="15"/>
    <x v="7"/>
  </r>
  <r>
    <n v="3463"/>
    <x v="222"/>
    <s v="Core"/>
    <d v="2024-10-15T00:00:00"/>
    <s v="No"/>
    <n v="5"/>
    <x v="0"/>
    <s v="No"/>
    <s v="-"/>
    <s v="No"/>
    <n v="0"/>
    <n v="1"/>
    <x v="4"/>
  </r>
  <r>
    <n v="3464"/>
    <x v="223"/>
    <s v="Ultimate"/>
    <d v="2024-10-16T00:00:00"/>
    <s v="Yes"/>
    <n v="15"/>
    <x v="2"/>
    <s v="Yes"/>
    <n v="30"/>
    <s v="Yes"/>
    <n v="20"/>
    <n v="7"/>
    <x v="12"/>
  </r>
  <r>
    <n v="3465"/>
    <x v="224"/>
    <s v="Standard"/>
    <d v="2024-10-17T00:00:00"/>
    <s v="No"/>
    <n v="10"/>
    <x v="0"/>
    <s v="No"/>
    <s v="-"/>
    <s v="Yes"/>
    <n v="20"/>
    <n v="10"/>
    <x v="2"/>
  </r>
  <r>
    <n v="3466"/>
    <x v="225"/>
    <s v="Core"/>
    <d v="2024-10-18T00:00:00"/>
    <s v="Yes"/>
    <n v="5"/>
    <x v="1"/>
    <s v="No"/>
    <s v="-"/>
    <s v="No"/>
    <n v="0"/>
    <n v="0"/>
    <x v="1"/>
  </r>
  <r>
    <n v="3467"/>
    <x v="226"/>
    <s v="Ultimate"/>
    <d v="2024-10-19T00:00:00"/>
    <s v="No"/>
    <n v="15"/>
    <x v="0"/>
    <s v="Yes"/>
    <n v="30"/>
    <s v="Yes"/>
    <n v="20"/>
    <n v="15"/>
    <x v="14"/>
  </r>
  <r>
    <n v="3468"/>
    <x v="227"/>
    <s v="Standard"/>
    <d v="2024-10-20T00:00:00"/>
    <s v="Yes"/>
    <n v="10"/>
    <x v="2"/>
    <s v="No"/>
    <s v="-"/>
    <s v="Yes"/>
    <n v="20"/>
    <n v="12"/>
    <x v="10"/>
  </r>
  <r>
    <n v="3469"/>
    <x v="228"/>
    <s v="Core"/>
    <d v="2024-10-21T00:00:00"/>
    <s v="No"/>
    <n v="5"/>
    <x v="0"/>
    <s v="No"/>
    <s v="-"/>
    <s v="No"/>
    <n v="0"/>
    <n v="2"/>
    <x v="11"/>
  </r>
  <r>
    <n v="3470"/>
    <x v="229"/>
    <s v="Ultimate"/>
    <d v="2024-10-22T00:00:00"/>
    <s v="Yes"/>
    <n v="15"/>
    <x v="1"/>
    <s v="Yes"/>
    <n v="30"/>
    <s v="Yes"/>
    <n v="20"/>
    <n v="5"/>
    <x v="0"/>
  </r>
  <r>
    <n v="3471"/>
    <x v="230"/>
    <s v="Standard"/>
    <d v="2024-10-23T00:00:00"/>
    <s v="No"/>
    <n v="10"/>
    <x v="0"/>
    <s v="No"/>
    <s v="-"/>
    <s v="Yes"/>
    <n v="20"/>
    <n v="10"/>
    <x v="2"/>
  </r>
  <r>
    <n v="3472"/>
    <x v="231"/>
    <s v="Core"/>
    <d v="2024-10-24T00:00:00"/>
    <s v="Yes"/>
    <n v="5"/>
    <x v="2"/>
    <s v="No"/>
    <s v="-"/>
    <s v="No"/>
    <n v="0"/>
    <n v="0"/>
    <x v="1"/>
  </r>
  <r>
    <n v="3473"/>
    <x v="140"/>
    <s v="Ultimate"/>
    <d v="2024-10-25T00:00:00"/>
    <s v="No"/>
    <n v="15"/>
    <x v="0"/>
    <s v="Yes"/>
    <n v="30"/>
    <s v="Yes"/>
    <n v="20"/>
    <n v="3"/>
    <x v="3"/>
  </r>
  <r>
    <n v="3474"/>
    <x v="232"/>
    <s v="Standard"/>
    <d v="2024-10-26T00:00:00"/>
    <s v="Yes"/>
    <n v="10"/>
    <x v="1"/>
    <s v="No"/>
    <s v="-"/>
    <s v="Yes"/>
    <n v="20"/>
    <n v="15"/>
    <x v="7"/>
  </r>
  <r>
    <n v="3475"/>
    <x v="233"/>
    <s v="Core"/>
    <d v="2024-10-27T00:00:00"/>
    <s v="No"/>
    <n v="5"/>
    <x v="0"/>
    <s v="No"/>
    <s v="-"/>
    <s v="No"/>
    <n v="0"/>
    <n v="1"/>
    <x v="4"/>
  </r>
  <r>
    <n v="3476"/>
    <x v="234"/>
    <s v="Ultimate"/>
    <d v="2024-10-28T00:00:00"/>
    <s v="Yes"/>
    <n v="15"/>
    <x v="2"/>
    <s v="Yes"/>
    <n v="30"/>
    <s v="Yes"/>
    <n v="20"/>
    <n v="7"/>
    <x v="12"/>
  </r>
  <r>
    <n v="3477"/>
    <x v="235"/>
    <s v="Standard"/>
    <d v="2024-10-29T00:00:00"/>
    <s v="No"/>
    <n v="10"/>
    <x v="0"/>
    <s v="No"/>
    <s v="-"/>
    <s v="Yes"/>
    <n v="20"/>
    <n v="10"/>
    <x v="2"/>
  </r>
  <r>
    <n v="3478"/>
    <x v="236"/>
    <s v="Core"/>
    <d v="2024-10-30T00:00:00"/>
    <s v="Yes"/>
    <n v="5"/>
    <x v="1"/>
    <s v="No"/>
    <s v="-"/>
    <s v="No"/>
    <n v="0"/>
    <n v="0"/>
    <x v="1"/>
  </r>
  <r>
    <n v="3479"/>
    <x v="237"/>
    <s v="Ultimate"/>
    <d v="2024-10-31T00:00:00"/>
    <s v="No"/>
    <n v="15"/>
    <x v="0"/>
    <s v="Yes"/>
    <n v="30"/>
    <s v="Yes"/>
    <n v="20"/>
    <n v="20"/>
    <x v="8"/>
  </r>
  <r>
    <n v="3480"/>
    <x v="238"/>
    <s v="Standard"/>
    <d v="2024-11-01T00:00:00"/>
    <s v="Yes"/>
    <n v="10"/>
    <x v="2"/>
    <s v="No"/>
    <s v="-"/>
    <s v="Yes"/>
    <n v="20"/>
    <n v="15"/>
    <x v="7"/>
  </r>
  <r>
    <n v="3481"/>
    <x v="239"/>
    <s v="Core"/>
    <d v="2024-11-02T00:00:00"/>
    <s v="No"/>
    <n v="5"/>
    <x v="0"/>
    <s v="No"/>
    <s v="-"/>
    <s v="No"/>
    <n v="0"/>
    <n v="1"/>
    <x v="4"/>
  </r>
  <r>
    <n v="3482"/>
    <x v="240"/>
    <s v="Ultimate"/>
    <d v="2024-11-03T00:00:00"/>
    <s v="Yes"/>
    <n v="15"/>
    <x v="1"/>
    <s v="Yes"/>
    <n v="30"/>
    <s v="Yes"/>
    <n v="20"/>
    <n v="3"/>
    <x v="3"/>
  </r>
  <r>
    <n v="3483"/>
    <x v="241"/>
    <s v="Standard"/>
    <d v="2024-11-04T00:00:00"/>
    <s v="No"/>
    <n v="10"/>
    <x v="0"/>
    <s v="No"/>
    <s v="-"/>
    <s v="Yes"/>
    <n v="20"/>
    <n v="10"/>
    <x v="2"/>
  </r>
  <r>
    <n v="3484"/>
    <x v="242"/>
    <s v="Core"/>
    <d v="2024-11-05T00:00:00"/>
    <s v="Yes"/>
    <n v="5"/>
    <x v="2"/>
    <s v="No"/>
    <s v="-"/>
    <s v="No"/>
    <n v="0"/>
    <n v="0"/>
    <x v="1"/>
  </r>
  <r>
    <n v="3485"/>
    <x v="243"/>
    <s v="Ultimate"/>
    <d v="2024-11-06T00:00:00"/>
    <s v="No"/>
    <n v="15"/>
    <x v="0"/>
    <s v="Yes"/>
    <n v="30"/>
    <s v="Yes"/>
    <n v="20"/>
    <n v="15"/>
    <x v="14"/>
  </r>
  <r>
    <n v="3486"/>
    <x v="244"/>
    <s v="Core"/>
    <d v="2024-11-07T00:00:00"/>
    <s v="Yes"/>
    <n v="5"/>
    <x v="0"/>
    <s v="No"/>
    <s v="-"/>
    <s v="No"/>
    <n v="0"/>
    <n v="0"/>
    <x v="1"/>
  </r>
  <r>
    <n v="3487"/>
    <x v="245"/>
    <s v="Ultimate"/>
    <d v="2024-11-08T00:00:00"/>
    <s v="No"/>
    <n v="15"/>
    <x v="2"/>
    <s v="Yes"/>
    <n v="30"/>
    <s v="Yes"/>
    <n v="20"/>
    <n v="7"/>
    <x v="12"/>
  </r>
  <r>
    <n v="3488"/>
    <x v="246"/>
    <s v="Standard"/>
    <d v="2024-11-09T00:00:00"/>
    <s v="Yes"/>
    <n v="10"/>
    <x v="1"/>
    <s v="No"/>
    <s v="-"/>
    <s v="Yes"/>
    <n v="20"/>
    <n v="10"/>
    <x v="2"/>
  </r>
  <r>
    <n v="3489"/>
    <x v="247"/>
    <s v="Core"/>
    <d v="2024-11-10T00:00:00"/>
    <s v="No"/>
    <n v="5"/>
    <x v="2"/>
    <s v="No"/>
    <s v="-"/>
    <s v="No"/>
    <n v="0"/>
    <n v="1"/>
    <x v="4"/>
  </r>
  <r>
    <n v="3490"/>
    <x v="248"/>
    <s v="Ultimate"/>
    <d v="2024-11-11T00:00:00"/>
    <s v="Yes"/>
    <n v="15"/>
    <x v="0"/>
    <s v="Yes"/>
    <n v="30"/>
    <s v="Yes"/>
    <n v="20"/>
    <n v="15"/>
    <x v="14"/>
  </r>
  <r>
    <n v="3491"/>
    <x v="249"/>
    <s v="Standard"/>
    <d v="2024-11-12T00:00:00"/>
    <s v="No"/>
    <n v="10"/>
    <x v="0"/>
    <s v="No"/>
    <s v="-"/>
    <s v="Yes"/>
    <n v="20"/>
    <n v="5"/>
    <x v="13"/>
  </r>
  <r>
    <n v="3492"/>
    <x v="250"/>
    <s v="Core"/>
    <d v="2024-11-13T00:00:00"/>
    <s v="Yes"/>
    <n v="5"/>
    <x v="1"/>
    <s v="No"/>
    <s v="-"/>
    <s v="No"/>
    <n v="0"/>
    <n v="0"/>
    <x v="1"/>
  </r>
  <r>
    <n v="3493"/>
    <x v="251"/>
    <s v="Ultimate"/>
    <d v="2024-11-14T00:00:00"/>
    <s v="No"/>
    <n v="15"/>
    <x v="2"/>
    <s v="Yes"/>
    <n v="30"/>
    <s v="Yes"/>
    <n v="20"/>
    <n v="20"/>
    <x v="8"/>
  </r>
  <r>
    <n v="3494"/>
    <x v="252"/>
    <s v="Standard"/>
    <d v="2024-11-15T00:00:00"/>
    <s v="Yes"/>
    <n v="10"/>
    <x v="2"/>
    <s v="No"/>
    <s v="-"/>
    <s v="Yes"/>
    <n v="20"/>
    <n v="12"/>
    <x v="10"/>
  </r>
  <r>
    <n v="3495"/>
    <x v="253"/>
    <s v="Core"/>
    <d v="2024-11-16T00:00:00"/>
    <s v="No"/>
    <n v="5"/>
    <x v="0"/>
    <s v="No"/>
    <s v="-"/>
    <s v="No"/>
    <n v="0"/>
    <n v="2"/>
    <x v="11"/>
  </r>
  <r>
    <n v="3496"/>
    <x v="254"/>
    <s v="Ultimate"/>
    <d v="2024-11-17T00:00:00"/>
    <s v="Yes"/>
    <n v="15"/>
    <x v="1"/>
    <s v="Yes"/>
    <n v="30"/>
    <s v="Yes"/>
    <n v="20"/>
    <n v="5"/>
    <x v="0"/>
  </r>
  <r>
    <n v="3497"/>
    <x v="255"/>
    <s v="Standard"/>
    <d v="2024-11-18T00:00:00"/>
    <s v="No"/>
    <n v="10"/>
    <x v="0"/>
    <s v="No"/>
    <s v="-"/>
    <s v="Yes"/>
    <n v="20"/>
    <n v="10"/>
    <x v="2"/>
  </r>
  <r>
    <n v="3498"/>
    <x v="256"/>
    <s v="Core"/>
    <d v="2024-11-19T00:00:00"/>
    <s v="Yes"/>
    <n v="5"/>
    <x v="2"/>
    <s v="No"/>
    <s v="-"/>
    <s v="No"/>
    <n v="0"/>
    <n v="0"/>
    <x v="1"/>
  </r>
  <r>
    <n v="3499"/>
    <x v="257"/>
    <s v="Ultimate"/>
    <d v="2024-11-20T00:00:00"/>
    <s v="No"/>
    <n v="15"/>
    <x v="0"/>
    <s v="Yes"/>
    <n v="30"/>
    <s v="Yes"/>
    <n v="20"/>
    <n v="3"/>
    <x v="3"/>
  </r>
  <r>
    <n v="3500"/>
    <x v="258"/>
    <s v="Standard"/>
    <d v="2024-11-21T00:00:00"/>
    <s v="Yes"/>
    <n v="10"/>
    <x v="1"/>
    <s v="No"/>
    <s v="-"/>
    <s v="Yes"/>
    <n v="20"/>
    <n v="15"/>
    <x v="7"/>
  </r>
  <r>
    <n v="3501"/>
    <x v="259"/>
    <s v="Core"/>
    <d v="2024-11-22T00:00:00"/>
    <s v="No"/>
    <n v="5"/>
    <x v="0"/>
    <s v="No"/>
    <s v="-"/>
    <s v="No"/>
    <n v="0"/>
    <n v="1"/>
    <x v="4"/>
  </r>
  <r>
    <n v="3502"/>
    <x v="260"/>
    <s v="Ultimate"/>
    <d v="2024-11-23T00:00:00"/>
    <s v="Yes"/>
    <n v="15"/>
    <x v="2"/>
    <s v="Yes"/>
    <n v="30"/>
    <s v="Yes"/>
    <n v="20"/>
    <n v="7"/>
    <x v="12"/>
  </r>
  <r>
    <n v="3503"/>
    <x v="119"/>
    <s v="Standard"/>
    <d v="2024-11-24T00:00:00"/>
    <s v="No"/>
    <n v="10"/>
    <x v="0"/>
    <s v="No"/>
    <s v="-"/>
    <s v="Yes"/>
    <n v="20"/>
    <n v="10"/>
    <x v="2"/>
  </r>
  <r>
    <n v="3504"/>
    <x v="261"/>
    <s v="Core"/>
    <d v="2024-11-25T00:00:00"/>
    <s v="Yes"/>
    <n v="5"/>
    <x v="1"/>
    <s v="No"/>
    <s v="-"/>
    <s v="No"/>
    <n v="0"/>
    <n v="0"/>
    <x v="1"/>
  </r>
  <r>
    <n v="3505"/>
    <x v="262"/>
    <s v="Ultimate"/>
    <d v="2024-11-26T00:00:00"/>
    <s v="No"/>
    <n v="15"/>
    <x v="0"/>
    <s v="Yes"/>
    <n v="30"/>
    <s v="Yes"/>
    <n v="20"/>
    <n v="20"/>
    <x v="8"/>
  </r>
  <r>
    <n v="3506"/>
    <x v="263"/>
    <s v="Standard"/>
    <d v="2024-11-27T00:00:00"/>
    <s v="Yes"/>
    <n v="10"/>
    <x v="2"/>
    <s v="No"/>
    <s v="-"/>
    <s v="Yes"/>
    <n v="20"/>
    <n v="15"/>
    <x v="7"/>
  </r>
  <r>
    <n v="3507"/>
    <x v="264"/>
    <s v="Core"/>
    <d v="2024-11-28T00:00:00"/>
    <s v="No"/>
    <n v="5"/>
    <x v="0"/>
    <s v="No"/>
    <s v="-"/>
    <s v="No"/>
    <n v="0"/>
    <n v="1"/>
    <x v="4"/>
  </r>
  <r>
    <n v="3508"/>
    <x v="265"/>
    <s v="Ultimate"/>
    <d v="2024-11-29T00:00:00"/>
    <s v="Yes"/>
    <n v="15"/>
    <x v="1"/>
    <s v="Yes"/>
    <n v="30"/>
    <s v="Yes"/>
    <n v="20"/>
    <n v="3"/>
    <x v="3"/>
  </r>
  <r>
    <n v="3509"/>
    <x v="266"/>
    <s v="Standard"/>
    <d v="2024-11-30T00:00:00"/>
    <s v="No"/>
    <n v="10"/>
    <x v="0"/>
    <s v="No"/>
    <s v="-"/>
    <s v="Yes"/>
    <n v="20"/>
    <n v="10"/>
    <x v="2"/>
  </r>
  <r>
    <n v="3510"/>
    <x v="267"/>
    <s v="Core"/>
    <d v="2024-12-01T00:00:00"/>
    <s v="Yes"/>
    <n v="5"/>
    <x v="2"/>
    <s v="No"/>
    <s v="-"/>
    <s v="No"/>
    <n v="0"/>
    <n v="0"/>
    <x v="1"/>
  </r>
  <r>
    <n v="3511"/>
    <x v="268"/>
    <s v="Ultimate"/>
    <d v="2024-12-02T00:00:00"/>
    <s v="No"/>
    <n v="15"/>
    <x v="0"/>
    <s v="Yes"/>
    <n v="30"/>
    <s v="Yes"/>
    <n v="20"/>
    <n v="15"/>
    <x v="14"/>
  </r>
  <r>
    <n v="3512"/>
    <x v="269"/>
    <s v="Standard"/>
    <d v="2024-12-03T00:00:00"/>
    <s v="Yes"/>
    <n v="10"/>
    <x v="1"/>
    <s v="No"/>
    <s v="-"/>
    <s v="Yes"/>
    <n v="20"/>
    <n v="15"/>
    <x v="7"/>
  </r>
  <r>
    <n v="3513"/>
    <x v="270"/>
    <s v="Core"/>
    <d v="2024-12-04T00:00:00"/>
    <s v="No"/>
    <n v="5"/>
    <x v="0"/>
    <s v="No"/>
    <s v="-"/>
    <s v="No"/>
    <n v="0"/>
    <n v="1"/>
    <x v="4"/>
  </r>
  <r>
    <n v="3514"/>
    <x v="271"/>
    <s v="Ultimate"/>
    <d v="2024-12-05T00:00:00"/>
    <s v="Yes"/>
    <n v="15"/>
    <x v="2"/>
    <s v="Yes"/>
    <n v="30"/>
    <s v="Yes"/>
    <n v="20"/>
    <n v="7"/>
    <x v="12"/>
  </r>
  <r>
    <n v="3515"/>
    <x v="130"/>
    <s v="Standard"/>
    <d v="2024-12-06T00:00:00"/>
    <s v="No"/>
    <n v="10"/>
    <x v="0"/>
    <s v="No"/>
    <s v="-"/>
    <s v="Yes"/>
    <n v="20"/>
    <n v="10"/>
    <x v="2"/>
  </r>
  <r>
    <n v="3516"/>
    <x v="131"/>
    <s v="Core"/>
    <d v="2024-12-07T00:00:00"/>
    <s v="Yes"/>
    <n v="5"/>
    <x v="1"/>
    <s v="No"/>
    <s v="-"/>
    <s v="No"/>
    <n v="0"/>
    <n v="0"/>
    <x v="1"/>
  </r>
  <r>
    <n v="3517"/>
    <x v="181"/>
    <s v="Ultimate"/>
    <d v="2024-12-08T00:00:00"/>
    <s v="No"/>
    <n v="15"/>
    <x v="0"/>
    <s v="Yes"/>
    <n v="30"/>
    <s v="Yes"/>
    <n v="20"/>
    <n v="20"/>
    <x v="8"/>
  </r>
  <r>
    <n v="3518"/>
    <x v="272"/>
    <s v="Standard"/>
    <d v="2024-12-09T00:00:00"/>
    <s v="Yes"/>
    <n v="10"/>
    <x v="2"/>
    <s v="No"/>
    <s v="-"/>
    <s v="Yes"/>
    <n v="20"/>
    <n v="12"/>
    <x v="10"/>
  </r>
  <r>
    <n v="3519"/>
    <x v="273"/>
    <s v="Core"/>
    <d v="2024-12-10T00:00:00"/>
    <s v="No"/>
    <n v="5"/>
    <x v="0"/>
    <s v="No"/>
    <s v="-"/>
    <s v="No"/>
    <n v="0"/>
    <n v="2"/>
    <x v="11"/>
  </r>
  <r>
    <n v="3520"/>
    <x v="274"/>
    <s v="Ultimate"/>
    <d v="2024-12-11T00:00:00"/>
    <s v="Yes"/>
    <n v="15"/>
    <x v="1"/>
    <s v="Yes"/>
    <n v="30"/>
    <s v="Yes"/>
    <n v="20"/>
    <n v="5"/>
    <x v="0"/>
  </r>
  <r>
    <n v="3521"/>
    <x v="275"/>
    <s v="Standard"/>
    <d v="2024-12-12T00:00:00"/>
    <s v="No"/>
    <n v="10"/>
    <x v="0"/>
    <s v="No"/>
    <s v="-"/>
    <s v="Yes"/>
    <n v="20"/>
    <n v="10"/>
    <x v="2"/>
  </r>
  <r>
    <n v="3522"/>
    <x v="276"/>
    <s v="Core"/>
    <d v="2024-12-13T00:00:00"/>
    <s v="Yes"/>
    <n v="5"/>
    <x v="2"/>
    <s v="No"/>
    <s v="-"/>
    <s v="No"/>
    <n v="0"/>
    <n v="0"/>
    <x v="1"/>
  </r>
  <r>
    <n v="3523"/>
    <x v="277"/>
    <s v="Ultimate"/>
    <d v="2024-12-14T00:00:00"/>
    <s v="No"/>
    <n v="15"/>
    <x v="0"/>
    <s v="Yes"/>
    <n v="30"/>
    <s v="Yes"/>
    <n v="20"/>
    <n v="3"/>
    <x v="3"/>
  </r>
  <r>
    <n v="3524"/>
    <x v="278"/>
    <s v="Standard"/>
    <d v="2024-12-15T00:00:00"/>
    <s v="Yes"/>
    <n v="10"/>
    <x v="1"/>
    <s v="No"/>
    <s v="-"/>
    <s v="Yes"/>
    <n v="20"/>
    <n v="15"/>
    <x v="7"/>
  </r>
  <r>
    <n v="3525"/>
    <x v="279"/>
    <s v="Core"/>
    <d v="2024-12-16T00:00:00"/>
    <s v="No"/>
    <n v="5"/>
    <x v="0"/>
    <s v="No"/>
    <s v="-"/>
    <s v="No"/>
    <n v="0"/>
    <n v="1"/>
    <x v="4"/>
  </r>
  <r>
    <m/>
    <x v="280"/>
    <m/>
    <m/>
    <m/>
    <m/>
    <x v="3"/>
    <m/>
    <m/>
    <m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9">
  <location ref="B3:C5" firstHeaderRow="1" firstDataRow="1" firstDataCol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showAll="0"/>
    <pivotField showAll="0"/>
    <pivotField axis="axisRow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6"/>
  </rowFields>
  <rowItems count="2">
    <i>
      <x/>
    </i>
    <i t="grand">
      <x/>
    </i>
  </rowItems>
  <colItems count="1">
    <i/>
  </colItems>
  <dataFields count="1">
    <dataField name="Soma de Total Value" fld="12" baseField="1" baseItem="0" numFmtId="164"/>
  </dataFields>
  <formats count="29">
    <format dxfId="0">
      <pivotArea grandRow="1"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6" type="button" dataOnly="0" labelOnly="1" outline="0" axis="axisRow" fieldPosition="0"/>
    </format>
    <format dxfId="4">
      <pivotArea dataOnly="0" labelOnly="1" outline="0" axis="axisValues" fieldPosition="0"/>
    </format>
    <format dxfId="5">
      <pivotArea dataOnly="0" labelOnly="1" fieldPosition="0">
        <references count="1">
          <reference field="6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6" type="button" dataOnly="0" labelOnly="1" outline="0" axis="axisRow" fieldPosition="0"/>
    </format>
    <format dxfId="11">
      <pivotArea dataOnly="0" labelOnly="1" outline="0" axis="axisValues" fieldPosition="0"/>
    </format>
    <format dxfId="12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4">
      <pivotArea dataOnly="0" labelOnly="1" outline="0" axis="axisValues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6" type="button" dataOnly="0" labelOnly="1" outline="0" axis="axisRow" fieldPosition="0"/>
    </format>
    <format dxfId="18">
      <pivotArea dataOnly="0" labelOnly="1" outline="0" axis="axisValues" fieldPosition="0"/>
    </format>
    <format dxfId="19">
      <pivotArea dataOnly="0" labelOnly="1" fieldPosition="0">
        <references count="1">
          <reference field="6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6" type="button" dataOnly="0" labelOnly="1" outline="0" axis="axisRow" fieldPosition="0"/>
    </format>
    <format dxfId="25">
      <pivotArea dataOnly="0" labelOnly="1" outline="0" axis="axisValues" fieldPosition="0"/>
    </format>
    <format dxfId="26">
      <pivotArea dataOnly="0" labelOnly="1" fieldPosition="0">
        <references count="1">
          <reference field="6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chartFormats count="2"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1" sourceName="Subscription Type">
  <pivotTables>
    <pivotTable tabId="3" name="Tabela dinâmica2"/>
  </pivotTables>
  <data>
    <tabular pivotCacheId="1765956581">
      <items count="4">
        <i x="1" s="1"/>
        <i x="0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  <slicer name="Subscription Type 1" cache="SegmentaçãodeDados_Subscription_Type1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42">
  <autoFilter ref="A1:M296"/>
  <tableColumns count="13">
    <tableColumn id="1" name="Subscriber ID" dataDxfId="41"/>
    <tableColumn id="2" name="Name" dataDxfId="40"/>
    <tableColumn id="3" name="Plan" dataDxfId="39"/>
    <tableColumn id="4" name="Start Date" dataDxfId="38"/>
    <tableColumn id="5" name="Auto Renewal" dataDxfId="37"/>
    <tableColumn id="6" name="Subscription Price" dataDxfId="36" dataCellStyle="Moeda"/>
    <tableColumn id="7" name="Subscription Type" dataDxfId="35"/>
    <tableColumn id="8" name="EA Play Season Pass" dataDxfId="34"/>
    <tableColumn id="13" name="EA Play Season Pass_x000a_Price" dataDxfId="33" dataCellStyle="Moeda"/>
    <tableColumn id="9" name="Minecraft Season Pass" dataDxfId="32"/>
    <tableColumn id="10" name="Minecraft Season Pass Price" dataDxfId="31" dataCellStyle="Moeda"/>
    <tableColumn id="11" name="Coupon Value" dataDxfId="30" dataCellStyle="Moeda"/>
    <tableColumn id="12" name="Total Value" dataDxfId="2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L42" sqref="L42"/>
    </sheetView>
  </sheetViews>
  <sheetFormatPr defaultRowHeight="15" x14ac:dyDescent="0.25"/>
  <cols>
    <col min="9" max="9" width="3.710937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sqref="A1:XFD1048576"/>
    </sheetView>
  </sheetViews>
  <sheetFormatPr defaultRowHeight="15" x14ac:dyDescent="0.25"/>
  <cols>
    <col min="1" max="1" width="18" customWidth="1"/>
    <col min="2" max="2" width="19" customWidth="1"/>
    <col min="3" max="3" width="9.42578125" customWidth="1"/>
    <col min="4" max="4" width="14.7109375" customWidth="1"/>
    <col min="5" max="5" width="18.140625" customWidth="1"/>
    <col min="6" max="6" width="14.85546875" customWidth="1"/>
    <col min="7" max="7" width="22.140625" customWidth="1"/>
    <col min="8" max="9" width="20.7109375" customWidth="1"/>
    <col min="10" max="10" width="16.85546875" customWidth="1"/>
    <col min="11" max="11" width="21.28515625" customWidth="1"/>
    <col min="12" max="12" width="12.85546875" customWidth="1"/>
    <col min="13" max="13" width="10.7109375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7"/>
  <sheetViews>
    <sheetView showGridLines="0" workbookViewId="0">
      <selection activeCell="I26" sqref="I26"/>
    </sheetView>
  </sheetViews>
  <sheetFormatPr defaultRowHeight="15" x14ac:dyDescent="0.25"/>
  <cols>
    <col min="2" max="2" width="18" customWidth="1"/>
    <col min="3" max="3" width="34.42578125" customWidth="1"/>
    <col min="4" max="4" width="30.7109375" customWidth="1"/>
    <col min="5" max="5" width="12.28515625" customWidth="1"/>
    <col min="6" max="6" width="19.28515625" customWidth="1"/>
    <col min="7" max="7" width="27.85546875" customWidth="1"/>
    <col min="8" max="8" width="6.140625" customWidth="1"/>
    <col min="9" max="9" width="24.140625" bestFit="1" customWidth="1"/>
    <col min="10" max="11" width="40.140625" bestFit="1" customWidth="1"/>
    <col min="12" max="15" width="11.140625" bestFit="1" customWidth="1"/>
    <col min="16" max="16" width="17.85546875" bestFit="1" customWidth="1"/>
    <col min="17" max="17" width="13.85546875" bestFit="1" customWidth="1"/>
  </cols>
  <sheetData>
    <row r="1" spans="2:6" x14ac:dyDescent="0.25">
      <c r="B1" t="s">
        <v>317</v>
      </c>
    </row>
    <row r="3" spans="2:6" x14ac:dyDescent="0.25">
      <c r="B3" s="22" t="s">
        <v>309</v>
      </c>
      <c r="C3" s="23" t="s">
        <v>318</v>
      </c>
      <c r="F3" s="25"/>
    </row>
    <row r="4" spans="2:6" x14ac:dyDescent="0.25">
      <c r="B4" s="21" t="s">
        <v>24</v>
      </c>
      <c r="C4" s="23">
        <v>1754</v>
      </c>
      <c r="E4" s="24"/>
    </row>
    <row r="5" spans="2:6" x14ac:dyDescent="0.25">
      <c r="B5" s="21" t="s">
        <v>310</v>
      </c>
      <c r="C5" s="23">
        <v>1754</v>
      </c>
      <c r="E5" s="20">
        <f>GETPIVOTDATA("Total Value",$B$3)</f>
        <v>1754</v>
      </c>
    </row>
    <row r="7" spans="2:6" x14ac:dyDescent="0.25">
      <c r="B7" t="s">
        <v>319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318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  <c r="E14" s="20">
        <f>GETPIVOTDATA("Total Value",$B$11)</f>
        <v>1754</v>
      </c>
    </row>
    <row r="17" spans="2:5" x14ac:dyDescent="0.25">
      <c r="B17" s="14" t="s">
        <v>320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600</v>
      </c>
    </row>
    <row r="25" spans="2:5" x14ac:dyDescent="0.25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25">
      <c r="B28" s="14" t="s">
        <v>321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7">
        <f>GETPIVOTDATA("Minecraft Season Pass Price",$B$32)</f>
        <v>940</v>
      </c>
    </row>
    <row r="47" spans="2:5" x14ac:dyDescent="0.25">
      <c r="E47" s="20"/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="85" zoomScaleNormal="85" workbookViewId="0">
      <selection activeCell="AC30" sqref="AC30"/>
    </sheetView>
  </sheetViews>
  <sheetFormatPr defaultRowHeight="15" x14ac:dyDescent="0.25"/>
  <cols>
    <col min="1" max="1" width="27.42578125" style="4" customWidth="1"/>
    <col min="2" max="2" width="3.7109375" customWidth="1"/>
    <col min="12" max="12" width="6.7109375" customWidth="1"/>
  </cols>
  <sheetData>
    <row r="2" spans="1:19" ht="27.75" customHeight="1" thickBot="1" x14ac:dyDescent="0.5">
      <c r="C2" s="19" t="s">
        <v>322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purl.org/dc/dcmitype/"/>
    <ds:schemaRef ds:uri="http://schemas.microsoft.com/office/infopath/2007/PartnerControls"/>
    <ds:schemaRef ds:uri="851b35d3-0456-4d6a-bc2f-da927e91d158"/>
    <ds:schemaRef ds:uri="http://purl.org/dc/elements/1.1/"/>
    <ds:schemaRef ds:uri="http://schemas.microsoft.com/office/2006/metadata/properties"/>
    <ds:schemaRef ds:uri="http://schemas.microsoft.com/office/2006/documentManagement/types"/>
    <ds:schemaRef ds:uri="19483571-f922-4e8e-9c1c-26f0a2252132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win10</cp:lastModifiedBy>
  <dcterms:created xsi:type="dcterms:W3CDTF">2024-12-19T13:13:10Z</dcterms:created>
  <dcterms:modified xsi:type="dcterms:W3CDTF">2026-02-23T12:14:17Z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